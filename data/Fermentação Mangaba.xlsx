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anaoliveira/Desktop/projeto_bioinf/data/"/>
    </mc:Choice>
  </mc:AlternateContent>
  <xr:revisionPtr revIDLastSave="0" documentId="8_{7701EBE4-ED8E-2143-BDDD-5FED70F7FBF2}" xr6:coauthVersionLast="47" xr6:coauthVersionMax="47" xr10:uidLastSave="{00000000-0000-0000-0000-000000000000}"/>
  <bookViews>
    <workbookView xWindow="20" yWindow="680" windowWidth="30240" windowHeight="17820" firstSheet="1" activeTab="1" xr2:uid="{2765BCEA-7E48-4AAE-83AE-F0145304482B}"/>
  </bookViews>
  <sheets>
    <sheet name="OD" sheetId="8" r:id="rId1"/>
    <sheet name="pH" sheetId="1" r:id="rId2"/>
    <sheet name="SCFA CN" sheetId="3" r:id="rId3"/>
    <sheet name="SCFA OFP" sheetId="4" r:id="rId4"/>
    <sheet name="SCFA IQ" sheetId="5" r:id="rId5"/>
    <sheet name="SCFA PM" sheetId="14" r:id="rId6"/>
    <sheet name="SCFA EM" sheetId="11" r:id="rId7"/>
    <sheet name="Summary" sheetId="6" r:id="rId8"/>
    <sheet name="Summary (sem E)" sheetId="7" state="hidden" r:id="rId9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3" i="14" l="1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E69" i="14"/>
  <c r="E48" i="14"/>
  <c r="E81" i="14" s="1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U36" i="14"/>
  <c r="U50" i="14" s="1"/>
  <c r="U83" i="14" s="1"/>
  <c r="T36" i="14"/>
  <c r="T50" i="14" s="1"/>
  <c r="T83" i="14" s="1"/>
  <c r="S36" i="14"/>
  <c r="S50" i="14" s="1"/>
  <c r="S83" i="14" s="1"/>
  <c r="R36" i="14"/>
  <c r="R50" i="14" s="1"/>
  <c r="R83" i="14" s="1"/>
  <c r="Q36" i="14"/>
  <c r="Q50" i="14" s="1"/>
  <c r="Q83" i="14" s="1"/>
  <c r="P36" i="14"/>
  <c r="P50" i="14" s="1"/>
  <c r="P83" i="14" s="1"/>
  <c r="O36" i="14"/>
  <c r="O50" i="14" s="1"/>
  <c r="O83" i="14" s="1"/>
  <c r="N36" i="14"/>
  <c r="N50" i="14" s="1"/>
  <c r="N83" i="14" s="1"/>
  <c r="M36" i="14"/>
  <c r="M50" i="14" s="1"/>
  <c r="M83" i="14" s="1"/>
  <c r="L36" i="14"/>
  <c r="L50" i="14" s="1"/>
  <c r="L83" i="14" s="1"/>
  <c r="K36" i="14"/>
  <c r="K50" i="14" s="1"/>
  <c r="K83" i="14" s="1"/>
  <c r="J36" i="14"/>
  <c r="J50" i="14" s="1"/>
  <c r="J83" i="14" s="1"/>
  <c r="I36" i="14"/>
  <c r="I50" i="14" s="1"/>
  <c r="I83" i="14" s="1"/>
  <c r="H36" i="14"/>
  <c r="H50" i="14" s="1"/>
  <c r="H83" i="14" s="1"/>
  <c r="G36" i="14"/>
  <c r="G50" i="14" s="1"/>
  <c r="G83" i="14" s="1"/>
  <c r="F36" i="14"/>
  <c r="F50" i="14" s="1"/>
  <c r="F83" i="14" s="1"/>
  <c r="E36" i="14"/>
  <c r="E50" i="14" s="1"/>
  <c r="E83" i="14" s="1"/>
  <c r="D36" i="14"/>
  <c r="D50" i="14" s="1"/>
  <c r="D83" i="14" s="1"/>
  <c r="C36" i="14"/>
  <c r="C50" i="14" s="1"/>
  <c r="C83" i="14" s="1"/>
  <c r="B36" i="14"/>
  <c r="B50" i="14" s="1"/>
  <c r="B83" i="14" s="1"/>
  <c r="U35" i="14"/>
  <c r="U49" i="14" s="1"/>
  <c r="U82" i="14" s="1"/>
  <c r="T35" i="14"/>
  <c r="T49" i="14" s="1"/>
  <c r="T82" i="14" s="1"/>
  <c r="S35" i="14"/>
  <c r="S49" i="14" s="1"/>
  <c r="S82" i="14" s="1"/>
  <c r="R35" i="14"/>
  <c r="R49" i="14" s="1"/>
  <c r="R82" i="14" s="1"/>
  <c r="Q35" i="14"/>
  <c r="Q49" i="14" s="1"/>
  <c r="Q82" i="14" s="1"/>
  <c r="P35" i="14"/>
  <c r="P49" i="14" s="1"/>
  <c r="P82" i="14" s="1"/>
  <c r="O35" i="14"/>
  <c r="O49" i="14" s="1"/>
  <c r="O82" i="14" s="1"/>
  <c r="N35" i="14"/>
  <c r="N49" i="14" s="1"/>
  <c r="N82" i="14" s="1"/>
  <c r="M35" i="14"/>
  <c r="M49" i="14" s="1"/>
  <c r="M82" i="14" s="1"/>
  <c r="L35" i="14"/>
  <c r="L49" i="14" s="1"/>
  <c r="L82" i="14" s="1"/>
  <c r="K35" i="14"/>
  <c r="K49" i="14" s="1"/>
  <c r="K82" i="14" s="1"/>
  <c r="J35" i="14"/>
  <c r="J49" i="14" s="1"/>
  <c r="J82" i="14" s="1"/>
  <c r="I35" i="14"/>
  <c r="I49" i="14" s="1"/>
  <c r="I82" i="14" s="1"/>
  <c r="H35" i="14"/>
  <c r="H49" i="14" s="1"/>
  <c r="H82" i="14" s="1"/>
  <c r="G35" i="14"/>
  <c r="G49" i="14" s="1"/>
  <c r="G82" i="14" s="1"/>
  <c r="F35" i="14"/>
  <c r="F49" i="14" s="1"/>
  <c r="F82" i="14" s="1"/>
  <c r="E35" i="14"/>
  <c r="E49" i="14" s="1"/>
  <c r="E82" i="14" s="1"/>
  <c r="D35" i="14"/>
  <c r="D49" i="14" s="1"/>
  <c r="D82" i="14" s="1"/>
  <c r="C35" i="14"/>
  <c r="C49" i="14" s="1"/>
  <c r="C82" i="14" s="1"/>
  <c r="B35" i="14"/>
  <c r="B49" i="14" s="1"/>
  <c r="B82" i="14" s="1"/>
  <c r="U34" i="14"/>
  <c r="U48" i="14" s="1"/>
  <c r="U81" i="14" s="1"/>
  <c r="T34" i="14"/>
  <c r="T48" i="14" s="1"/>
  <c r="T81" i="14" s="1"/>
  <c r="S34" i="14"/>
  <c r="S48" i="14" s="1"/>
  <c r="S81" i="14" s="1"/>
  <c r="R34" i="14"/>
  <c r="R48" i="14" s="1"/>
  <c r="R81" i="14" s="1"/>
  <c r="Q34" i="14"/>
  <c r="Q48" i="14" s="1"/>
  <c r="Q81" i="14" s="1"/>
  <c r="P34" i="14"/>
  <c r="P48" i="14" s="1"/>
  <c r="P81" i="14" s="1"/>
  <c r="O34" i="14"/>
  <c r="O48" i="14" s="1"/>
  <c r="O81" i="14" s="1"/>
  <c r="N34" i="14"/>
  <c r="N48" i="14" s="1"/>
  <c r="N81" i="14" s="1"/>
  <c r="M34" i="14"/>
  <c r="M48" i="14" s="1"/>
  <c r="M81" i="14" s="1"/>
  <c r="L34" i="14"/>
  <c r="L48" i="14" s="1"/>
  <c r="L81" i="14" s="1"/>
  <c r="K34" i="14"/>
  <c r="K48" i="14" s="1"/>
  <c r="K81" i="14" s="1"/>
  <c r="J34" i="14"/>
  <c r="J48" i="14" s="1"/>
  <c r="J81" i="14" s="1"/>
  <c r="I34" i="14"/>
  <c r="I48" i="14" s="1"/>
  <c r="I81" i="14" s="1"/>
  <c r="H34" i="14"/>
  <c r="H48" i="14" s="1"/>
  <c r="H81" i="14" s="1"/>
  <c r="G34" i="14"/>
  <c r="G48" i="14" s="1"/>
  <c r="G81" i="14" s="1"/>
  <c r="F34" i="14"/>
  <c r="F48" i="14" s="1"/>
  <c r="F81" i="14" s="1"/>
  <c r="E34" i="14"/>
  <c r="D34" i="14"/>
  <c r="D48" i="14" s="1"/>
  <c r="D81" i="14" s="1"/>
  <c r="C34" i="14"/>
  <c r="C48" i="14" s="1"/>
  <c r="C81" i="14" s="1"/>
  <c r="B34" i="14"/>
  <c r="B48" i="14" s="1"/>
  <c r="B81" i="14" s="1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U32" i="14"/>
  <c r="U47" i="14" s="1"/>
  <c r="U80" i="14" s="1"/>
  <c r="T32" i="14"/>
  <c r="T47" i="14" s="1"/>
  <c r="T80" i="14" s="1"/>
  <c r="S32" i="14"/>
  <c r="S47" i="14" s="1"/>
  <c r="S80" i="14" s="1"/>
  <c r="R32" i="14"/>
  <c r="R47" i="14" s="1"/>
  <c r="R80" i="14" s="1"/>
  <c r="Q32" i="14"/>
  <c r="Q47" i="14" s="1"/>
  <c r="Q80" i="14" s="1"/>
  <c r="P32" i="14"/>
  <c r="P47" i="14" s="1"/>
  <c r="P80" i="14" s="1"/>
  <c r="O32" i="14"/>
  <c r="O47" i="14" s="1"/>
  <c r="O80" i="14" s="1"/>
  <c r="N32" i="14"/>
  <c r="N47" i="14" s="1"/>
  <c r="N80" i="14" s="1"/>
  <c r="M32" i="14"/>
  <c r="M47" i="14" s="1"/>
  <c r="M80" i="14" s="1"/>
  <c r="L32" i="14"/>
  <c r="L47" i="14" s="1"/>
  <c r="L80" i="14" s="1"/>
  <c r="K32" i="14"/>
  <c r="K47" i="14" s="1"/>
  <c r="K80" i="14" s="1"/>
  <c r="J32" i="14"/>
  <c r="J47" i="14" s="1"/>
  <c r="J80" i="14" s="1"/>
  <c r="I32" i="14"/>
  <c r="I47" i="14" s="1"/>
  <c r="I80" i="14" s="1"/>
  <c r="H32" i="14"/>
  <c r="H47" i="14" s="1"/>
  <c r="H80" i="14" s="1"/>
  <c r="G32" i="14"/>
  <c r="G47" i="14" s="1"/>
  <c r="G80" i="14" s="1"/>
  <c r="F32" i="14"/>
  <c r="F47" i="14" s="1"/>
  <c r="F80" i="14" s="1"/>
  <c r="E32" i="14"/>
  <c r="E47" i="14" s="1"/>
  <c r="E80" i="14" s="1"/>
  <c r="D32" i="14"/>
  <c r="D47" i="14" s="1"/>
  <c r="D80" i="14" s="1"/>
  <c r="C32" i="14"/>
  <c r="C47" i="14" s="1"/>
  <c r="C80" i="14" s="1"/>
  <c r="B32" i="14"/>
  <c r="B47" i="14" s="1"/>
  <c r="B80" i="14" s="1"/>
  <c r="U31" i="14"/>
  <c r="U46" i="14" s="1"/>
  <c r="U79" i="14" s="1"/>
  <c r="T31" i="14"/>
  <c r="T46" i="14" s="1"/>
  <c r="T79" i="14" s="1"/>
  <c r="S31" i="14"/>
  <c r="S46" i="14" s="1"/>
  <c r="S79" i="14" s="1"/>
  <c r="R31" i="14"/>
  <c r="R46" i="14" s="1"/>
  <c r="R79" i="14" s="1"/>
  <c r="Q31" i="14"/>
  <c r="Q46" i="14" s="1"/>
  <c r="Q79" i="14" s="1"/>
  <c r="P31" i="14"/>
  <c r="P46" i="14" s="1"/>
  <c r="P79" i="14" s="1"/>
  <c r="O31" i="14"/>
  <c r="O46" i="14" s="1"/>
  <c r="O79" i="14" s="1"/>
  <c r="N31" i="14"/>
  <c r="N46" i="14" s="1"/>
  <c r="N79" i="14" s="1"/>
  <c r="M31" i="14"/>
  <c r="M46" i="14" s="1"/>
  <c r="M79" i="14" s="1"/>
  <c r="L31" i="14"/>
  <c r="L46" i="14" s="1"/>
  <c r="L79" i="14" s="1"/>
  <c r="K31" i="14"/>
  <c r="K46" i="14" s="1"/>
  <c r="K79" i="14" s="1"/>
  <c r="J31" i="14"/>
  <c r="J46" i="14" s="1"/>
  <c r="J79" i="14" s="1"/>
  <c r="I31" i="14"/>
  <c r="I46" i="14" s="1"/>
  <c r="I79" i="14" s="1"/>
  <c r="H31" i="14"/>
  <c r="H46" i="14" s="1"/>
  <c r="H79" i="14" s="1"/>
  <c r="G31" i="14"/>
  <c r="G46" i="14" s="1"/>
  <c r="G79" i="14" s="1"/>
  <c r="F31" i="14"/>
  <c r="F46" i="14" s="1"/>
  <c r="F79" i="14" s="1"/>
  <c r="E31" i="14"/>
  <c r="E46" i="14" s="1"/>
  <c r="E79" i="14" s="1"/>
  <c r="D31" i="14"/>
  <c r="D46" i="14" s="1"/>
  <c r="D79" i="14" s="1"/>
  <c r="C31" i="14"/>
  <c r="C46" i="14" s="1"/>
  <c r="C79" i="14" s="1"/>
  <c r="B31" i="14"/>
  <c r="B46" i="14" s="1"/>
  <c r="B79" i="14" s="1"/>
  <c r="B93" i="14" s="1"/>
  <c r="U30" i="14"/>
  <c r="U45" i="14" s="1"/>
  <c r="U78" i="14" s="1"/>
  <c r="T30" i="14"/>
  <c r="T45" i="14" s="1"/>
  <c r="T78" i="14" s="1"/>
  <c r="S30" i="14"/>
  <c r="S45" i="14" s="1"/>
  <c r="S78" i="14" s="1"/>
  <c r="R30" i="14"/>
  <c r="R45" i="14" s="1"/>
  <c r="R78" i="14" s="1"/>
  <c r="Q30" i="14"/>
  <c r="Q45" i="14" s="1"/>
  <c r="Q78" i="14" s="1"/>
  <c r="P30" i="14"/>
  <c r="P45" i="14" s="1"/>
  <c r="P78" i="14" s="1"/>
  <c r="O30" i="14"/>
  <c r="O45" i="14" s="1"/>
  <c r="O78" i="14" s="1"/>
  <c r="N30" i="14"/>
  <c r="N45" i="14" s="1"/>
  <c r="N78" i="14" s="1"/>
  <c r="M30" i="14"/>
  <c r="M45" i="14" s="1"/>
  <c r="M78" i="14" s="1"/>
  <c r="L30" i="14"/>
  <c r="L45" i="14" s="1"/>
  <c r="L78" i="14" s="1"/>
  <c r="K30" i="14"/>
  <c r="K45" i="14" s="1"/>
  <c r="K78" i="14" s="1"/>
  <c r="J30" i="14"/>
  <c r="J45" i="14" s="1"/>
  <c r="J78" i="14" s="1"/>
  <c r="I30" i="14"/>
  <c r="I45" i="14" s="1"/>
  <c r="I78" i="14" s="1"/>
  <c r="H30" i="14"/>
  <c r="H45" i="14" s="1"/>
  <c r="H78" i="14" s="1"/>
  <c r="G30" i="14"/>
  <c r="G45" i="14" s="1"/>
  <c r="G78" i="14" s="1"/>
  <c r="F30" i="14"/>
  <c r="F45" i="14" s="1"/>
  <c r="F78" i="14" s="1"/>
  <c r="E30" i="14"/>
  <c r="E45" i="14" s="1"/>
  <c r="E78" i="14" s="1"/>
  <c r="D30" i="14"/>
  <c r="D45" i="14" s="1"/>
  <c r="D78" i="14" s="1"/>
  <c r="C30" i="14"/>
  <c r="C45" i="14" s="1"/>
  <c r="C78" i="14" s="1"/>
  <c r="B30" i="14"/>
  <c r="B45" i="14" s="1"/>
  <c r="B78" i="14" s="1"/>
  <c r="U29" i="14"/>
  <c r="U44" i="14" s="1"/>
  <c r="U77" i="14" s="1"/>
  <c r="T29" i="14"/>
  <c r="T44" i="14" s="1"/>
  <c r="T77" i="14" s="1"/>
  <c r="S29" i="14"/>
  <c r="S44" i="14" s="1"/>
  <c r="S77" i="14" s="1"/>
  <c r="R29" i="14"/>
  <c r="R44" i="14" s="1"/>
  <c r="R77" i="14" s="1"/>
  <c r="Q29" i="14"/>
  <c r="Q44" i="14" s="1"/>
  <c r="Q77" i="14" s="1"/>
  <c r="P29" i="14"/>
  <c r="P44" i="14" s="1"/>
  <c r="P77" i="14" s="1"/>
  <c r="O29" i="14"/>
  <c r="O44" i="14" s="1"/>
  <c r="O77" i="14" s="1"/>
  <c r="N29" i="14"/>
  <c r="N44" i="14" s="1"/>
  <c r="N77" i="14" s="1"/>
  <c r="M29" i="14"/>
  <c r="M44" i="14" s="1"/>
  <c r="M77" i="14" s="1"/>
  <c r="L29" i="14"/>
  <c r="L44" i="14" s="1"/>
  <c r="L77" i="14" s="1"/>
  <c r="K29" i="14"/>
  <c r="K44" i="14" s="1"/>
  <c r="K77" i="14" s="1"/>
  <c r="J29" i="14"/>
  <c r="J44" i="14" s="1"/>
  <c r="J77" i="14" s="1"/>
  <c r="I29" i="14"/>
  <c r="I44" i="14" s="1"/>
  <c r="I77" i="14" s="1"/>
  <c r="H29" i="14"/>
  <c r="H44" i="14" s="1"/>
  <c r="H77" i="14" s="1"/>
  <c r="G29" i="14"/>
  <c r="G44" i="14" s="1"/>
  <c r="G77" i="14" s="1"/>
  <c r="F29" i="14"/>
  <c r="F44" i="14" s="1"/>
  <c r="F77" i="14" s="1"/>
  <c r="E29" i="14"/>
  <c r="E44" i="14" s="1"/>
  <c r="E77" i="14" s="1"/>
  <c r="D29" i="14"/>
  <c r="D44" i="14" s="1"/>
  <c r="D77" i="14" s="1"/>
  <c r="C29" i="14"/>
  <c r="C44" i="14" s="1"/>
  <c r="C77" i="14" s="1"/>
  <c r="B29" i="14"/>
  <c r="B44" i="14" s="1"/>
  <c r="B77" i="14" s="1"/>
  <c r="U28" i="14"/>
  <c r="U43" i="14" s="1"/>
  <c r="U76" i="14" s="1"/>
  <c r="T28" i="14"/>
  <c r="T43" i="14" s="1"/>
  <c r="T76" i="14" s="1"/>
  <c r="S28" i="14"/>
  <c r="S43" i="14" s="1"/>
  <c r="S76" i="14" s="1"/>
  <c r="R28" i="14"/>
  <c r="R43" i="14" s="1"/>
  <c r="R76" i="14" s="1"/>
  <c r="Q28" i="14"/>
  <c r="Q43" i="14" s="1"/>
  <c r="Q76" i="14" s="1"/>
  <c r="P28" i="14"/>
  <c r="P43" i="14" s="1"/>
  <c r="P76" i="14" s="1"/>
  <c r="O28" i="14"/>
  <c r="O43" i="14" s="1"/>
  <c r="O76" i="14" s="1"/>
  <c r="N28" i="14"/>
  <c r="N43" i="14" s="1"/>
  <c r="N76" i="14" s="1"/>
  <c r="M28" i="14"/>
  <c r="M43" i="14" s="1"/>
  <c r="M76" i="14" s="1"/>
  <c r="L28" i="14"/>
  <c r="L43" i="14" s="1"/>
  <c r="L76" i="14" s="1"/>
  <c r="K28" i="14"/>
  <c r="K43" i="14" s="1"/>
  <c r="K76" i="14" s="1"/>
  <c r="J28" i="14"/>
  <c r="J43" i="14" s="1"/>
  <c r="J76" i="14" s="1"/>
  <c r="I28" i="14"/>
  <c r="I43" i="14" s="1"/>
  <c r="I76" i="14" s="1"/>
  <c r="H28" i="14"/>
  <c r="H43" i="14" s="1"/>
  <c r="H76" i="14" s="1"/>
  <c r="G28" i="14"/>
  <c r="G43" i="14" s="1"/>
  <c r="G76" i="14" s="1"/>
  <c r="F28" i="14"/>
  <c r="F43" i="14" s="1"/>
  <c r="F76" i="14" s="1"/>
  <c r="E28" i="14"/>
  <c r="E43" i="14" s="1"/>
  <c r="E76" i="14" s="1"/>
  <c r="D28" i="14"/>
  <c r="D43" i="14" s="1"/>
  <c r="D76" i="14" s="1"/>
  <c r="C28" i="14"/>
  <c r="C43" i="14" s="1"/>
  <c r="C76" i="14" s="1"/>
  <c r="B28" i="14"/>
  <c r="B43" i="14" s="1"/>
  <c r="B76" i="14" s="1"/>
  <c r="U27" i="14"/>
  <c r="U42" i="14" s="1"/>
  <c r="U75" i="14" s="1"/>
  <c r="T27" i="14"/>
  <c r="T42" i="14" s="1"/>
  <c r="T75" i="14" s="1"/>
  <c r="S27" i="14"/>
  <c r="S42" i="14" s="1"/>
  <c r="S75" i="14" s="1"/>
  <c r="R27" i="14"/>
  <c r="R42" i="14" s="1"/>
  <c r="R75" i="14" s="1"/>
  <c r="Q27" i="14"/>
  <c r="Q42" i="14" s="1"/>
  <c r="Q75" i="14" s="1"/>
  <c r="P27" i="14"/>
  <c r="P42" i="14" s="1"/>
  <c r="P75" i="14" s="1"/>
  <c r="O27" i="14"/>
  <c r="O42" i="14" s="1"/>
  <c r="O75" i="14" s="1"/>
  <c r="N27" i="14"/>
  <c r="N42" i="14" s="1"/>
  <c r="N75" i="14" s="1"/>
  <c r="M27" i="14"/>
  <c r="M42" i="14" s="1"/>
  <c r="M75" i="14" s="1"/>
  <c r="L27" i="14"/>
  <c r="L42" i="14" s="1"/>
  <c r="L75" i="14" s="1"/>
  <c r="K27" i="14"/>
  <c r="K42" i="14" s="1"/>
  <c r="K75" i="14" s="1"/>
  <c r="J27" i="14"/>
  <c r="J42" i="14" s="1"/>
  <c r="J75" i="14" s="1"/>
  <c r="I27" i="14"/>
  <c r="I42" i="14" s="1"/>
  <c r="I75" i="14" s="1"/>
  <c r="H27" i="14"/>
  <c r="H42" i="14" s="1"/>
  <c r="H75" i="14" s="1"/>
  <c r="G27" i="14"/>
  <c r="G42" i="14" s="1"/>
  <c r="G75" i="14" s="1"/>
  <c r="F27" i="14"/>
  <c r="F42" i="14" s="1"/>
  <c r="F75" i="14" s="1"/>
  <c r="E27" i="14"/>
  <c r="E42" i="14" s="1"/>
  <c r="E75" i="14" s="1"/>
  <c r="D27" i="14"/>
  <c r="D42" i="14" s="1"/>
  <c r="D75" i="14" s="1"/>
  <c r="C27" i="14"/>
  <c r="C42" i="14" s="1"/>
  <c r="C75" i="14" s="1"/>
  <c r="B27" i="14"/>
  <c r="B42" i="14" s="1"/>
  <c r="B75" i="14" s="1"/>
  <c r="U26" i="14"/>
  <c r="U41" i="14" s="1"/>
  <c r="U74" i="14" s="1"/>
  <c r="T26" i="14"/>
  <c r="T41" i="14" s="1"/>
  <c r="T74" i="14" s="1"/>
  <c r="S26" i="14"/>
  <c r="S41" i="14" s="1"/>
  <c r="S74" i="14" s="1"/>
  <c r="R26" i="14"/>
  <c r="R41" i="14" s="1"/>
  <c r="R74" i="14" s="1"/>
  <c r="Q26" i="14"/>
  <c r="Q41" i="14" s="1"/>
  <c r="Q74" i="14" s="1"/>
  <c r="P26" i="14"/>
  <c r="P41" i="14" s="1"/>
  <c r="P74" i="14" s="1"/>
  <c r="O26" i="14"/>
  <c r="O41" i="14" s="1"/>
  <c r="O74" i="14" s="1"/>
  <c r="N26" i="14"/>
  <c r="N41" i="14" s="1"/>
  <c r="N74" i="14" s="1"/>
  <c r="M26" i="14"/>
  <c r="M41" i="14" s="1"/>
  <c r="M74" i="14" s="1"/>
  <c r="L26" i="14"/>
  <c r="L41" i="14" s="1"/>
  <c r="L74" i="14" s="1"/>
  <c r="K26" i="14"/>
  <c r="K41" i="14" s="1"/>
  <c r="K74" i="14" s="1"/>
  <c r="J26" i="14"/>
  <c r="J41" i="14" s="1"/>
  <c r="J74" i="14" s="1"/>
  <c r="I26" i="14"/>
  <c r="I41" i="14" s="1"/>
  <c r="I74" i="14" s="1"/>
  <c r="H26" i="14"/>
  <c r="H41" i="14" s="1"/>
  <c r="H74" i="14" s="1"/>
  <c r="G26" i="14"/>
  <c r="G41" i="14" s="1"/>
  <c r="G74" i="14" s="1"/>
  <c r="F26" i="14"/>
  <c r="F41" i="14" s="1"/>
  <c r="F74" i="14" s="1"/>
  <c r="E26" i="14"/>
  <c r="E41" i="14" s="1"/>
  <c r="E74" i="14" s="1"/>
  <c r="D26" i="14"/>
  <c r="D41" i="14" s="1"/>
  <c r="D74" i="14" s="1"/>
  <c r="C26" i="14"/>
  <c r="C41" i="14" s="1"/>
  <c r="C74" i="14" s="1"/>
  <c r="B26" i="14"/>
  <c r="B41" i="14" s="1"/>
  <c r="B74" i="14" s="1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E11" i="8"/>
  <c r="E12" i="8"/>
  <c r="E13" i="8"/>
  <c r="E14" i="8"/>
  <c r="E15" i="8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B73" i="11"/>
  <c r="E69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U36" i="11"/>
  <c r="U50" i="11" s="1"/>
  <c r="U83" i="11" s="1"/>
  <c r="T36" i="11"/>
  <c r="T50" i="11" s="1"/>
  <c r="T83" i="11" s="1"/>
  <c r="S36" i="11"/>
  <c r="S50" i="11" s="1"/>
  <c r="S83" i="11" s="1"/>
  <c r="R36" i="11"/>
  <c r="R50" i="11" s="1"/>
  <c r="R83" i="11" s="1"/>
  <c r="Q36" i="11"/>
  <c r="Q50" i="11" s="1"/>
  <c r="Q83" i="11" s="1"/>
  <c r="P36" i="11"/>
  <c r="P50" i="11" s="1"/>
  <c r="P83" i="11" s="1"/>
  <c r="O36" i="11"/>
  <c r="O50" i="11" s="1"/>
  <c r="O83" i="11" s="1"/>
  <c r="N36" i="11"/>
  <c r="N50" i="11" s="1"/>
  <c r="N83" i="11" s="1"/>
  <c r="M36" i="11"/>
  <c r="M50" i="11" s="1"/>
  <c r="M83" i="11" s="1"/>
  <c r="L36" i="11"/>
  <c r="L50" i="11" s="1"/>
  <c r="L83" i="11" s="1"/>
  <c r="K36" i="11"/>
  <c r="K50" i="11" s="1"/>
  <c r="K83" i="11" s="1"/>
  <c r="J36" i="11"/>
  <c r="J50" i="11" s="1"/>
  <c r="J83" i="11" s="1"/>
  <c r="I36" i="11"/>
  <c r="I50" i="11" s="1"/>
  <c r="I83" i="11" s="1"/>
  <c r="H36" i="11"/>
  <c r="H50" i="11" s="1"/>
  <c r="H83" i="11" s="1"/>
  <c r="G36" i="11"/>
  <c r="G50" i="11" s="1"/>
  <c r="G83" i="11" s="1"/>
  <c r="F36" i="11"/>
  <c r="F50" i="11" s="1"/>
  <c r="F83" i="11" s="1"/>
  <c r="E36" i="11"/>
  <c r="E50" i="11" s="1"/>
  <c r="E83" i="11" s="1"/>
  <c r="D36" i="11"/>
  <c r="D50" i="11" s="1"/>
  <c r="D83" i="11" s="1"/>
  <c r="C36" i="11"/>
  <c r="C50" i="11" s="1"/>
  <c r="C83" i="11" s="1"/>
  <c r="B36" i="11"/>
  <c r="B50" i="11" s="1"/>
  <c r="B83" i="11" s="1"/>
  <c r="U35" i="11"/>
  <c r="U49" i="11" s="1"/>
  <c r="U82" i="11" s="1"/>
  <c r="T35" i="11"/>
  <c r="T49" i="11" s="1"/>
  <c r="T82" i="11" s="1"/>
  <c r="S35" i="11"/>
  <c r="S49" i="11" s="1"/>
  <c r="S82" i="11" s="1"/>
  <c r="R35" i="11"/>
  <c r="R49" i="11" s="1"/>
  <c r="R82" i="11" s="1"/>
  <c r="Q35" i="11"/>
  <c r="Q49" i="11" s="1"/>
  <c r="Q82" i="11" s="1"/>
  <c r="P35" i="11"/>
  <c r="P49" i="11" s="1"/>
  <c r="P82" i="11" s="1"/>
  <c r="O35" i="11"/>
  <c r="O49" i="11" s="1"/>
  <c r="O82" i="11" s="1"/>
  <c r="N35" i="11"/>
  <c r="N49" i="11" s="1"/>
  <c r="N82" i="11" s="1"/>
  <c r="M35" i="11"/>
  <c r="M49" i="11" s="1"/>
  <c r="M82" i="11" s="1"/>
  <c r="L35" i="11"/>
  <c r="L49" i="11" s="1"/>
  <c r="L82" i="11" s="1"/>
  <c r="K35" i="11"/>
  <c r="K49" i="11" s="1"/>
  <c r="K82" i="11" s="1"/>
  <c r="J35" i="11"/>
  <c r="J49" i="11" s="1"/>
  <c r="J82" i="11" s="1"/>
  <c r="I35" i="11"/>
  <c r="I49" i="11" s="1"/>
  <c r="I82" i="11" s="1"/>
  <c r="H35" i="11"/>
  <c r="H49" i="11" s="1"/>
  <c r="H82" i="11" s="1"/>
  <c r="G35" i="11"/>
  <c r="G49" i="11" s="1"/>
  <c r="G82" i="11" s="1"/>
  <c r="F35" i="11"/>
  <c r="F49" i="11" s="1"/>
  <c r="F82" i="11" s="1"/>
  <c r="E35" i="11"/>
  <c r="E49" i="11" s="1"/>
  <c r="E82" i="11" s="1"/>
  <c r="D35" i="11"/>
  <c r="D49" i="11" s="1"/>
  <c r="D82" i="11" s="1"/>
  <c r="C35" i="11"/>
  <c r="C49" i="11" s="1"/>
  <c r="C82" i="11" s="1"/>
  <c r="B35" i="11"/>
  <c r="B49" i="11" s="1"/>
  <c r="B82" i="11" s="1"/>
  <c r="U34" i="11"/>
  <c r="U48" i="11" s="1"/>
  <c r="U81" i="11" s="1"/>
  <c r="T34" i="11"/>
  <c r="T48" i="11" s="1"/>
  <c r="T81" i="11" s="1"/>
  <c r="S34" i="11"/>
  <c r="S48" i="11" s="1"/>
  <c r="S81" i="11" s="1"/>
  <c r="R34" i="11"/>
  <c r="R48" i="11" s="1"/>
  <c r="R81" i="11" s="1"/>
  <c r="Q34" i="11"/>
  <c r="Q48" i="11" s="1"/>
  <c r="Q81" i="11" s="1"/>
  <c r="P34" i="11"/>
  <c r="P48" i="11" s="1"/>
  <c r="P81" i="11" s="1"/>
  <c r="O34" i="11"/>
  <c r="O48" i="11" s="1"/>
  <c r="O81" i="11" s="1"/>
  <c r="N34" i="11"/>
  <c r="N48" i="11" s="1"/>
  <c r="N81" i="11" s="1"/>
  <c r="M34" i="11"/>
  <c r="M48" i="11" s="1"/>
  <c r="M81" i="11" s="1"/>
  <c r="L34" i="11"/>
  <c r="L48" i="11" s="1"/>
  <c r="L81" i="11" s="1"/>
  <c r="K34" i="11"/>
  <c r="K48" i="11" s="1"/>
  <c r="K81" i="11" s="1"/>
  <c r="J34" i="11"/>
  <c r="J48" i="11" s="1"/>
  <c r="J81" i="11" s="1"/>
  <c r="I34" i="11"/>
  <c r="I48" i="11" s="1"/>
  <c r="I81" i="11" s="1"/>
  <c r="H34" i="11"/>
  <c r="H48" i="11" s="1"/>
  <c r="H81" i="11" s="1"/>
  <c r="G34" i="11"/>
  <c r="G48" i="11" s="1"/>
  <c r="G81" i="11" s="1"/>
  <c r="F34" i="11"/>
  <c r="F48" i="11" s="1"/>
  <c r="F81" i="11" s="1"/>
  <c r="E34" i="11"/>
  <c r="E48" i="11" s="1"/>
  <c r="E81" i="11" s="1"/>
  <c r="D34" i="11"/>
  <c r="D48" i="11" s="1"/>
  <c r="D81" i="11" s="1"/>
  <c r="C34" i="11"/>
  <c r="C48" i="11" s="1"/>
  <c r="C81" i="11" s="1"/>
  <c r="B34" i="11"/>
  <c r="B48" i="11" s="1"/>
  <c r="B81" i="11" s="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U32" i="11"/>
  <c r="U47" i="11" s="1"/>
  <c r="U80" i="11" s="1"/>
  <c r="T32" i="11"/>
  <c r="T47" i="11" s="1"/>
  <c r="T80" i="11" s="1"/>
  <c r="S32" i="11"/>
  <c r="S47" i="11" s="1"/>
  <c r="S80" i="11" s="1"/>
  <c r="R32" i="11"/>
  <c r="R47" i="11" s="1"/>
  <c r="R80" i="11" s="1"/>
  <c r="Q32" i="11"/>
  <c r="Q47" i="11" s="1"/>
  <c r="Q80" i="11" s="1"/>
  <c r="P32" i="11"/>
  <c r="P47" i="11" s="1"/>
  <c r="P80" i="11" s="1"/>
  <c r="O32" i="11"/>
  <c r="O47" i="11" s="1"/>
  <c r="O80" i="11" s="1"/>
  <c r="N32" i="11"/>
  <c r="N47" i="11" s="1"/>
  <c r="N80" i="11" s="1"/>
  <c r="M32" i="11"/>
  <c r="M47" i="11" s="1"/>
  <c r="M80" i="11" s="1"/>
  <c r="L32" i="11"/>
  <c r="L47" i="11" s="1"/>
  <c r="L80" i="11" s="1"/>
  <c r="K32" i="11"/>
  <c r="K47" i="11" s="1"/>
  <c r="K80" i="11" s="1"/>
  <c r="J32" i="11"/>
  <c r="J47" i="11" s="1"/>
  <c r="J80" i="11" s="1"/>
  <c r="I32" i="11"/>
  <c r="I47" i="11" s="1"/>
  <c r="I80" i="11" s="1"/>
  <c r="H32" i="11"/>
  <c r="H47" i="11" s="1"/>
  <c r="H80" i="11" s="1"/>
  <c r="G32" i="11"/>
  <c r="G47" i="11" s="1"/>
  <c r="G80" i="11" s="1"/>
  <c r="F32" i="11"/>
  <c r="F47" i="11" s="1"/>
  <c r="F80" i="11" s="1"/>
  <c r="E32" i="11"/>
  <c r="E47" i="11" s="1"/>
  <c r="E80" i="11" s="1"/>
  <c r="D32" i="11"/>
  <c r="D47" i="11" s="1"/>
  <c r="D80" i="11" s="1"/>
  <c r="C32" i="11"/>
  <c r="C47" i="11" s="1"/>
  <c r="C80" i="11" s="1"/>
  <c r="B32" i="11"/>
  <c r="B47" i="11" s="1"/>
  <c r="B80" i="11" s="1"/>
  <c r="U31" i="11"/>
  <c r="U46" i="11" s="1"/>
  <c r="U79" i="11" s="1"/>
  <c r="T31" i="11"/>
  <c r="T46" i="11" s="1"/>
  <c r="T79" i="11" s="1"/>
  <c r="S31" i="11"/>
  <c r="S46" i="11" s="1"/>
  <c r="S79" i="11" s="1"/>
  <c r="R31" i="11"/>
  <c r="R46" i="11" s="1"/>
  <c r="R79" i="11" s="1"/>
  <c r="Q31" i="11"/>
  <c r="Q46" i="11" s="1"/>
  <c r="Q79" i="11" s="1"/>
  <c r="P31" i="11"/>
  <c r="P46" i="11" s="1"/>
  <c r="P79" i="11" s="1"/>
  <c r="O31" i="11"/>
  <c r="O46" i="11" s="1"/>
  <c r="O79" i="11" s="1"/>
  <c r="N31" i="11"/>
  <c r="N46" i="11" s="1"/>
  <c r="N79" i="11" s="1"/>
  <c r="M31" i="11"/>
  <c r="M46" i="11" s="1"/>
  <c r="M79" i="11" s="1"/>
  <c r="L31" i="11"/>
  <c r="L46" i="11" s="1"/>
  <c r="L79" i="11" s="1"/>
  <c r="K31" i="11"/>
  <c r="K46" i="11" s="1"/>
  <c r="K79" i="11" s="1"/>
  <c r="J31" i="11"/>
  <c r="J46" i="11" s="1"/>
  <c r="J79" i="11" s="1"/>
  <c r="I31" i="11"/>
  <c r="I46" i="11" s="1"/>
  <c r="I79" i="11" s="1"/>
  <c r="H31" i="11"/>
  <c r="H46" i="11" s="1"/>
  <c r="H79" i="11" s="1"/>
  <c r="G31" i="11"/>
  <c r="G46" i="11" s="1"/>
  <c r="G79" i="11" s="1"/>
  <c r="F31" i="11"/>
  <c r="F46" i="11" s="1"/>
  <c r="F79" i="11" s="1"/>
  <c r="E31" i="11"/>
  <c r="E46" i="11" s="1"/>
  <c r="E79" i="11" s="1"/>
  <c r="D31" i="11"/>
  <c r="D46" i="11" s="1"/>
  <c r="D79" i="11" s="1"/>
  <c r="C31" i="11"/>
  <c r="C46" i="11" s="1"/>
  <c r="C79" i="11" s="1"/>
  <c r="B31" i="11"/>
  <c r="B46" i="11" s="1"/>
  <c r="B79" i="11" s="1"/>
  <c r="U30" i="11"/>
  <c r="U45" i="11" s="1"/>
  <c r="U78" i="11" s="1"/>
  <c r="T30" i="11"/>
  <c r="T45" i="11" s="1"/>
  <c r="T78" i="11" s="1"/>
  <c r="S30" i="11"/>
  <c r="S45" i="11" s="1"/>
  <c r="S78" i="11" s="1"/>
  <c r="R30" i="11"/>
  <c r="R45" i="11" s="1"/>
  <c r="R78" i="11" s="1"/>
  <c r="Q30" i="11"/>
  <c r="Q45" i="11" s="1"/>
  <c r="Q78" i="11" s="1"/>
  <c r="P30" i="11"/>
  <c r="P45" i="11" s="1"/>
  <c r="P78" i="11" s="1"/>
  <c r="O30" i="11"/>
  <c r="O45" i="11" s="1"/>
  <c r="O78" i="11" s="1"/>
  <c r="N30" i="11"/>
  <c r="N45" i="11" s="1"/>
  <c r="N78" i="11" s="1"/>
  <c r="M30" i="11"/>
  <c r="M45" i="11" s="1"/>
  <c r="M78" i="11" s="1"/>
  <c r="L30" i="11"/>
  <c r="L45" i="11" s="1"/>
  <c r="L78" i="11" s="1"/>
  <c r="K30" i="11"/>
  <c r="K45" i="11" s="1"/>
  <c r="K78" i="11" s="1"/>
  <c r="J30" i="11"/>
  <c r="J45" i="11" s="1"/>
  <c r="J78" i="11" s="1"/>
  <c r="I30" i="11"/>
  <c r="I45" i="11" s="1"/>
  <c r="I78" i="11" s="1"/>
  <c r="H30" i="11"/>
  <c r="H45" i="11" s="1"/>
  <c r="H78" i="11" s="1"/>
  <c r="G30" i="11"/>
  <c r="G45" i="11" s="1"/>
  <c r="G78" i="11" s="1"/>
  <c r="F30" i="11"/>
  <c r="F45" i="11" s="1"/>
  <c r="F78" i="11" s="1"/>
  <c r="E30" i="11"/>
  <c r="E45" i="11" s="1"/>
  <c r="E78" i="11" s="1"/>
  <c r="D30" i="11"/>
  <c r="D45" i="11" s="1"/>
  <c r="D78" i="11" s="1"/>
  <c r="C30" i="11"/>
  <c r="C45" i="11" s="1"/>
  <c r="C78" i="11" s="1"/>
  <c r="B30" i="11"/>
  <c r="B45" i="11" s="1"/>
  <c r="B78" i="11" s="1"/>
  <c r="U29" i="11"/>
  <c r="U44" i="11" s="1"/>
  <c r="U77" i="11" s="1"/>
  <c r="T29" i="11"/>
  <c r="T44" i="11" s="1"/>
  <c r="T77" i="11" s="1"/>
  <c r="S29" i="11"/>
  <c r="S44" i="11" s="1"/>
  <c r="S77" i="11" s="1"/>
  <c r="R29" i="11"/>
  <c r="R44" i="11" s="1"/>
  <c r="R77" i="11" s="1"/>
  <c r="Q29" i="11"/>
  <c r="Q44" i="11" s="1"/>
  <c r="Q77" i="11" s="1"/>
  <c r="P29" i="11"/>
  <c r="P44" i="11" s="1"/>
  <c r="P77" i="11" s="1"/>
  <c r="O29" i="11"/>
  <c r="O44" i="11" s="1"/>
  <c r="O77" i="11" s="1"/>
  <c r="N29" i="11"/>
  <c r="N44" i="11" s="1"/>
  <c r="N77" i="11" s="1"/>
  <c r="M29" i="11"/>
  <c r="M44" i="11" s="1"/>
  <c r="M77" i="11" s="1"/>
  <c r="L29" i="11"/>
  <c r="L44" i="11" s="1"/>
  <c r="L77" i="11" s="1"/>
  <c r="K29" i="11"/>
  <c r="K44" i="11" s="1"/>
  <c r="K77" i="11" s="1"/>
  <c r="J29" i="11"/>
  <c r="J44" i="11" s="1"/>
  <c r="J77" i="11" s="1"/>
  <c r="I29" i="11"/>
  <c r="I44" i="11" s="1"/>
  <c r="I77" i="11" s="1"/>
  <c r="H29" i="11"/>
  <c r="H44" i="11" s="1"/>
  <c r="H77" i="11" s="1"/>
  <c r="G29" i="11"/>
  <c r="G44" i="11" s="1"/>
  <c r="G77" i="11" s="1"/>
  <c r="F29" i="11"/>
  <c r="F44" i="11" s="1"/>
  <c r="F77" i="11" s="1"/>
  <c r="E29" i="11"/>
  <c r="E44" i="11" s="1"/>
  <c r="E77" i="11" s="1"/>
  <c r="D29" i="11"/>
  <c r="D44" i="11" s="1"/>
  <c r="D77" i="11" s="1"/>
  <c r="C29" i="11"/>
  <c r="C44" i="11" s="1"/>
  <c r="C77" i="11" s="1"/>
  <c r="B29" i="11"/>
  <c r="B44" i="11" s="1"/>
  <c r="B77" i="11" s="1"/>
  <c r="C91" i="11" s="1"/>
  <c r="U28" i="11"/>
  <c r="U43" i="11" s="1"/>
  <c r="U76" i="11" s="1"/>
  <c r="T28" i="11"/>
  <c r="T43" i="11" s="1"/>
  <c r="T76" i="11" s="1"/>
  <c r="S28" i="11"/>
  <c r="S43" i="11" s="1"/>
  <c r="S76" i="11" s="1"/>
  <c r="R28" i="11"/>
  <c r="R43" i="11" s="1"/>
  <c r="R76" i="11" s="1"/>
  <c r="Q28" i="11"/>
  <c r="Q43" i="11" s="1"/>
  <c r="Q76" i="11" s="1"/>
  <c r="P28" i="11"/>
  <c r="P43" i="11" s="1"/>
  <c r="P76" i="11" s="1"/>
  <c r="O28" i="11"/>
  <c r="O43" i="11" s="1"/>
  <c r="O76" i="11" s="1"/>
  <c r="N28" i="11"/>
  <c r="N43" i="11" s="1"/>
  <c r="N76" i="11" s="1"/>
  <c r="M28" i="11"/>
  <c r="M43" i="11" s="1"/>
  <c r="M76" i="11" s="1"/>
  <c r="L28" i="11"/>
  <c r="L43" i="11" s="1"/>
  <c r="L76" i="11" s="1"/>
  <c r="K28" i="11"/>
  <c r="K43" i="11" s="1"/>
  <c r="K76" i="11" s="1"/>
  <c r="J28" i="11"/>
  <c r="J43" i="11" s="1"/>
  <c r="J76" i="11" s="1"/>
  <c r="I28" i="11"/>
  <c r="I43" i="11" s="1"/>
  <c r="I76" i="11" s="1"/>
  <c r="H28" i="11"/>
  <c r="H43" i="11" s="1"/>
  <c r="H76" i="11" s="1"/>
  <c r="G28" i="11"/>
  <c r="G43" i="11" s="1"/>
  <c r="G76" i="11" s="1"/>
  <c r="F28" i="11"/>
  <c r="F43" i="11" s="1"/>
  <c r="F76" i="11" s="1"/>
  <c r="E28" i="11"/>
  <c r="E43" i="11" s="1"/>
  <c r="E76" i="11" s="1"/>
  <c r="D28" i="11"/>
  <c r="D43" i="11" s="1"/>
  <c r="D76" i="11" s="1"/>
  <c r="C28" i="11"/>
  <c r="C43" i="11" s="1"/>
  <c r="C76" i="11" s="1"/>
  <c r="B28" i="11"/>
  <c r="B43" i="11" s="1"/>
  <c r="B76" i="11" s="1"/>
  <c r="U27" i="11"/>
  <c r="U42" i="11" s="1"/>
  <c r="U75" i="11" s="1"/>
  <c r="T27" i="11"/>
  <c r="T42" i="11" s="1"/>
  <c r="T75" i="11" s="1"/>
  <c r="S27" i="11"/>
  <c r="S42" i="11" s="1"/>
  <c r="S75" i="11" s="1"/>
  <c r="R27" i="11"/>
  <c r="R42" i="11" s="1"/>
  <c r="R75" i="11" s="1"/>
  <c r="Q27" i="11"/>
  <c r="Q42" i="11" s="1"/>
  <c r="Q75" i="11" s="1"/>
  <c r="P27" i="11"/>
  <c r="P42" i="11" s="1"/>
  <c r="P75" i="11" s="1"/>
  <c r="O27" i="11"/>
  <c r="O42" i="11" s="1"/>
  <c r="O75" i="11" s="1"/>
  <c r="N27" i="11"/>
  <c r="N42" i="11" s="1"/>
  <c r="N75" i="11" s="1"/>
  <c r="M27" i="11"/>
  <c r="M42" i="11" s="1"/>
  <c r="M75" i="11" s="1"/>
  <c r="L27" i="11"/>
  <c r="L42" i="11" s="1"/>
  <c r="L75" i="11" s="1"/>
  <c r="K27" i="11"/>
  <c r="K42" i="11" s="1"/>
  <c r="K75" i="11" s="1"/>
  <c r="J27" i="11"/>
  <c r="J42" i="11" s="1"/>
  <c r="J75" i="11" s="1"/>
  <c r="I27" i="11"/>
  <c r="I42" i="11" s="1"/>
  <c r="I75" i="11" s="1"/>
  <c r="H27" i="11"/>
  <c r="H42" i="11" s="1"/>
  <c r="H75" i="11" s="1"/>
  <c r="G27" i="11"/>
  <c r="G42" i="11" s="1"/>
  <c r="G75" i="11" s="1"/>
  <c r="F27" i="11"/>
  <c r="F42" i="11" s="1"/>
  <c r="F75" i="11" s="1"/>
  <c r="E27" i="11"/>
  <c r="E42" i="11" s="1"/>
  <c r="E75" i="11" s="1"/>
  <c r="D27" i="11"/>
  <c r="D42" i="11" s="1"/>
  <c r="D75" i="11" s="1"/>
  <c r="C27" i="11"/>
  <c r="C42" i="11" s="1"/>
  <c r="C75" i="11" s="1"/>
  <c r="B27" i="11"/>
  <c r="B42" i="11" s="1"/>
  <c r="B75" i="11" s="1"/>
  <c r="U26" i="11"/>
  <c r="U41" i="11" s="1"/>
  <c r="U74" i="11" s="1"/>
  <c r="T26" i="11"/>
  <c r="T41" i="11" s="1"/>
  <c r="T74" i="11" s="1"/>
  <c r="S26" i="11"/>
  <c r="S41" i="11" s="1"/>
  <c r="S74" i="11" s="1"/>
  <c r="R26" i="11"/>
  <c r="R41" i="11" s="1"/>
  <c r="R74" i="11" s="1"/>
  <c r="Q26" i="11"/>
  <c r="Q41" i="11" s="1"/>
  <c r="Q74" i="11" s="1"/>
  <c r="P26" i="11"/>
  <c r="P41" i="11" s="1"/>
  <c r="P74" i="11" s="1"/>
  <c r="O26" i="11"/>
  <c r="O41" i="11" s="1"/>
  <c r="O74" i="11" s="1"/>
  <c r="N26" i="11"/>
  <c r="N41" i="11" s="1"/>
  <c r="N74" i="11" s="1"/>
  <c r="M26" i="11"/>
  <c r="M41" i="11" s="1"/>
  <c r="M74" i="11" s="1"/>
  <c r="L26" i="11"/>
  <c r="L41" i="11" s="1"/>
  <c r="L74" i="11" s="1"/>
  <c r="K26" i="11"/>
  <c r="K41" i="11" s="1"/>
  <c r="K74" i="11" s="1"/>
  <c r="J26" i="11"/>
  <c r="J41" i="11" s="1"/>
  <c r="J74" i="11" s="1"/>
  <c r="I26" i="11"/>
  <c r="I41" i="11" s="1"/>
  <c r="I74" i="11" s="1"/>
  <c r="H26" i="11"/>
  <c r="H41" i="11" s="1"/>
  <c r="H74" i="11" s="1"/>
  <c r="G26" i="11"/>
  <c r="G41" i="11" s="1"/>
  <c r="G74" i="11" s="1"/>
  <c r="F26" i="11"/>
  <c r="F41" i="11" s="1"/>
  <c r="F74" i="11" s="1"/>
  <c r="E26" i="11"/>
  <c r="E41" i="11" s="1"/>
  <c r="E74" i="11" s="1"/>
  <c r="D26" i="11"/>
  <c r="D41" i="11" s="1"/>
  <c r="D74" i="11" s="1"/>
  <c r="C26" i="11"/>
  <c r="C41" i="11" s="1"/>
  <c r="C74" i="11" s="1"/>
  <c r="B26" i="11"/>
  <c r="B41" i="11" s="1"/>
  <c r="B74" i="11" s="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C89" i="11" l="1"/>
  <c r="F96" i="11"/>
  <c r="G96" i="14"/>
  <c r="G97" i="14"/>
  <c r="F97" i="14"/>
  <c r="C88" i="14"/>
  <c r="B88" i="14"/>
  <c r="C89" i="14"/>
  <c r="B89" i="14"/>
  <c r="C92" i="14"/>
  <c r="B92" i="14"/>
  <c r="C96" i="14"/>
  <c r="B96" i="14"/>
  <c r="I89" i="14"/>
  <c r="H89" i="14"/>
  <c r="I90" i="14"/>
  <c r="H90" i="14"/>
  <c r="I94" i="14"/>
  <c r="H94" i="14"/>
  <c r="E88" i="14"/>
  <c r="D88" i="14"/>
  <c r="E89" i="14"/>
  <c r="D89" i="14"/>
  <c r="E90" i="14"/>
  <c r="D90" i="14"/>
  <c r="G94" i="14"/>
  <c r="F94" i="14"/>
  <c r="C90" i="14"/>
  <c r="B90" i="14"/>
  <c r="C91" i="14"/>
  <c r="C93" i="14"/>
  <c r="C94" i="14"/>
  <c r="B94" i="14"/>
  <c r="C95" i="14"/>
  <c r="C97" i="14"/>
  <c r="I91" i="14"/>
  <c r="H91" i="14"/>
  <c r="I95" i="14"/>
  <c r="H95" i="14"/>
  <c r="E91" i="14"/>
  <c r="D91" i="14"/>
  <c r="E92" i="14"/>
  <c r="D92" i="14"/>
  <c r="E93" i="14"/>
  <c r="D93" i="14"/>
  <c r="E94" i="14"/>
  <c r="D94" i="14"/>
  <c r="E95" i="14"/>
  <c r="D95" i="14"/>
  <c r="E96" i="14"/>
  <c r="D96" i="14"/>
  <c r="E97" i="14"/>
  <c r="D97" i="14"/>
  <c r="I88" i="14"/>
  <c r="H88" i="14"/>
  <c r="I92" i="14"/>
  <c r="H92" i="14"/>
  <c r="B95" i="14"/>
  <c r="G88" i="14"/>
  <c r="F88" i="14"/>
  <c r="G89" i="14"/>
  <c r="F89" i="14"/>
  <c r="G90" i="14"/>
  <c r="F90" i="14"/>
  <c r="G91" i="14"/>
  <c r="F91" i="14"/>
  <c r="G92" i="14"/>
  <c r="F92" i="14"/>
  <c r="G93" i="14"/>
  <c r="F93" i="14"/>
  <c r="G95" i="14"/>
  <c r="F95" i="14"/>
  <c r="I93" i="14"/>
  <c r="H93" i="14"/>
  <c r="B97" i="14"/>
  <c r="I96" i="14"/>
  <c r="H96" i="14"/>
  <c r="I97" i="14"/>
  <c r="H97" i="14"/>
  <c r="B91" i="14"/>
  <c r="F96" i="14"/>
  <c r="F89" i="11"/>
  <c r="F90" i="11"/>
  <c r="F88" i="11"/>
  <c r="F92" i="11"/>
  <c r="F94" i="11"/>
  <c r="F95" i="11"/>
  <c r="F97" i="11"/>
  <c r="F91" i="11"/>
  <c r="F93" i="11"/>
  <c r="G96" i="11"/>
  <c r="C88" i="11"/>
  <c r="B88" i="11"/>
  <c r="C90" i="11"/>
  <c r="B90" i="11"/>
  <c r="C92" i="11"/>
  <c r="B92" i="11"/>
  <c r="C94" i="11"/>
  <c r="B94" i="11"/>
  <c r="C96" i="11"/>
  <c r="B96" i="11"/>
  <c r="C97" i="11"/>
  <c r="B97" i="11"/>
  <c r="E91" i="11"/>
  <c r="D91" i="11"/>
  <c r="E95" i="11"/>
  <c r="D95" i="11"/>
  <c r="I88" i="11"/>
  <c r="H88" i="11"/>
  <c r="I89" i="11"/>
  <c r="H89" i="11"/>
  <c r="I90" i="11"/>
  <c r="H90" i="11"/>
  <c r="I91" i="11"/>
  <c r="H91" i="11"/>
  <c r="I92" i="11"/>
  <c r="H92" i="11"/>
  <c r="I93" i="11"/>
  <c r="H93" i="11"/>
  <c r="I94" i="11"/>
  <c r="H94" i="11"/>
  <c r="I95" i="11"/>
  <c r="H95" i="11"/>
  <c r="C95" i="11"/>
  <c r="B95" i="11"/>
  <c r="E97" i="11"/>
  <c r="D97" i="11"/>
  <c r="G89" i="11"/>
  <c r="G91" i="11"/>
  <c r="I96" i="11"/>
  <c r="H96" i="11"/>
  <c r="I97" i="11"/>
  <c r="H97" i="11"/>
  <c r="G88" i="11"/>
  <c r="G90" i="11"/>
  <c r="G93" i="11"/>
  <c r="G97" i="11"/>
  <c r="C93" i="11"/>
  <c r="B93" i="11"/>
  <c r="E89" i="11"/>
  <c r="D89" i="11"/>
  <c r="E93" i="11"/>
  <c r="D93" i="11"/>
  <c r="G95" i="11"/>
  <c r="G92" i="11"/>
  <c r="E88" i="11"/>
  <c r="D88" i="11"/>
  <c r="E90" i="11"/>
  <c r="D90" i="11"/>
  <c r="E92" i="11"/>
  <c r="D92" i="11"/>
  <c r="E94" i="11"/>
  <c r="D94" i="11"/>
  <c r="E96" i="11"/>
  <c r="D96" i="11"/>
  <c r="B89" i="11"/>
  <c r="B91" i="11"/>
  <c r="G94" i="11"/>
  <c r="U11" i="8"/>
  <c r="U12" i="8"/>
  <c r="U13" i="8"/>
  <c r="U14" i="8"/>
  <c r="U15" i="8"/>
  <c r="T12" i="8"/>
  <c r="T13" i="8"/>
  <c r="T14" i="8"/>
  <c r="T15" i="8"/>
  <c r="T11" i="8"/>
  <c r="Q11" i="8"/>
  <c r="Q12" i="8"/>
  <c r="Q13" i="8"/>
  <c r="Q14" i="8"/>
  <c r="Q15" i="8"/>
  <c r="P12" i="8"/>
  <c r="P13" i="8"/>
  <c r="P14" i="8"/>
  <c r="P15" i="8"/>
  <c r="P11" i="8"/>
  <c r="M11" i="8"/>
  <c r="M12" i="8"/>
  <c r="M13" i="8"/>
  <c r="M14" i="8"/>
  <c r="M15" i="8"/>
  <c r="L12" i="8"/>
  <c r="L13" i="8"/>
  <c r="L14" i="8"/>
  <c r="L15" i="8"/>
  <c r="L11" i="8"/>
  <c r="I11" i="8"/>
  <c r="E19" i="8" s="1"/>
  <c r="I12" i="8"/>
  <c r="I13" i="8"/>
  <c r="I14" i="8"/>
  <c r="I15" i="8"/>
  <c r="E23" i="8" s="1"/>
  <c r="H12" i="8"/>
  <c r="H13" i="8"/>
  <c r="H14" i="8"/>
  <c r="H15" i="8"/>
  <c r="H11" i="8"/>
  <c r="D12" i="8"/>
  <c r="D13" i="8"/>
  <c r="D14" i="8"/>
  <c r="D15" i="8"/>
  <c r="D11" i="8"/>
  <c r="D19" i="8" s="1"/>
  <c r="S12" i="8"/>
  <c r="S13" i="8"/>
  <c r="S14" i="8"/>
  <c r="S15" i="8"/>
  <c r="S11" i="8"/>
  <c r="O12" i="8"/>
  <c r="O13" i="8"/>
  <c r="O14" i="8"/>
  <c r="O15" i="8"/>
  <c r="O11" i="8"/>
  <c r="K12" i="8"/>
  <c r="K13" i="8"/>
  <c r="K14" i="8"/>
  <c r="K15" i="8"/>
  <c r="K11" i="8"/>
  <c r="G12" i="8"/>
  <c r="G13" i="8"/>
  <c r="G14" i="8"/>
  <c r="G15" i="8"/>
  <c r="G11" i="8"/>
  <c r="C12" i="8"/>
  <c r="C13" i="8"/>
  <c r="C14" i="8"/>
  <c r="C15" i="8"/>
  <c r="C11" i="8"/>
  <c r="R12" i="8"/>
  <c r="R13" i="8"/>
  <c r="R14" i="8"/>
  <c r="R15" i="8"/>
  <c r="R11" i="8"/>
  <c r="N12" i="8"/>
  <c r="N13" i="8"/>
  <c r="N14" i="8"/>
  <c r="N15" i="8"/>
  <c r="N11" i="8"/>
  <c r="J12" i="8"/>
  <c r="J13" i="8"/>
  <c r="J14" i="8"/>
  <c r="J15" i="8"/>
  <c r="J11" i="8"/>
  <c r="F12" i="8"/>
  <c r="F13" i="8"/>
  <c r="F14" i="8"/>
  <c r="F15" i="8"/>
  <c r="F11" i="8"/>
  <c r="B12" i="8"/>
  <c r="B13" i="8"/>
  <c r="B14" i="8"/>
  <c r="B15" i="8"/>
  <c r="B11" i="8"/>
  <c r="J23" i="8"/>
  <c r="I23" i="8"/>
  <c r="H23" i="8"/>
  <c r="G23" i="8"/>
  <c r="J22" i="8"/>
  <c r="I22" i="8"/>
  <c r="H22" i="8"/>
  <c r="G22" i="8"/>
  <c r="J21" i="8"/>
  <c r="I21" i="8"/>
  <c r="H21" i="8"/>
  <c r="G21" i="8"/>
  <c r="J20" i="8"/>
  <c r="I20" i="8"/>
  <c r="H20" i="8"/>
  <c r="G20" i="8"/>
  <c r="J19" i="8"/>
  <c r="I19" i="8"/>
  <c r="H19" i="8"/>
  <c r="G19" i="8"/>
  <c r="J15" i="1"/>
  <c r="I15" i="1"/>
  <c r="H15" i="1"/>
  <c r="G15" i="1"/>
  <c r="E15" i="1"/>
  <c r="D15" i="1"/>
  <c r="C15" i="1"/>
  <c r="B15" i="1"/>
  <c r="G14" i="1"/>
  <c r="H14" i="1"/>
  <c r="I14" i="1"/>
  <c r="J14" i="1"/>
  <c r="E14" i="1"/>
  <c r="D14" i="1"/>
  <c r="C14" i="1"/>
  <c r="B14" i="1"/>
  <c r="F99" i="11" l="1"/>
  <c r="D99" i="11"/>
  <c r="B99" i="14"/>
  <c r="I99" i="14"/>
  <c r="D99" i="14"/>
  <c r="H99" i="14"/>
  <c r="F99" i="14"/>
  <c r="E99" i="14"/>
  <c r="G99" i="14"/>
  <c r="C99" i="14"/>
  <c r="D23" i="8"/>
  <c r="C23" i="8"/>
  <c r="B21" i="8"/>
  <c r="B19" i="8"/>
  <c r="E22" i="8"/>
  <c r="D21" i="8"/>
  <c r="E21" i="8"/>
  <c r="B20" i="8"/>
  <c r="C22" i="8"/>
  <c r="D20" i="8"/>
  <c r="B23" i="8"/>
  <c r="C19" i="8"/>
  <c r="C21" i="8"/>
  <c r="E20" i="8"/>
  <c r="B22" i="8"/>
  <c r="C20" i="8"/>
  <c r="D22" i="8"/>
  <c r="H99" i="11"/>
  <c r="I99" i="11"/>
  <c r="G99" i="11"/>
  <c r="E99" i="11"/>
  <c r="C99" i="11"/>
  <c r="B99" i="11"/>
  <c r="J12" i="1"/>
  <c r="J13" i="1"/>
  <c r="J11" i="1"/>
  <c r="I12" i="1"/>
  <c r="I13" i="1"/>
  <c r="I11" i="1"/>
  <c r="E12" i="1"/>
  <c r="E13" i="1"/>
  <c r="E11" i="1"/>
  <c r="D12" i="1"/>
  <c r="D13" i="1"/>
  <c r="D11" i="1"/>
  <c r="H12" i="1"/>
  <c r="H13" i="1"/>
  <c r="H11" i="1"/>
  <c r="G12" i="1"/>
  <c r="G13" i="1"/>
  <c r="C12" i="1"/>
  <c r="C13" i="1"/>
  <c r="C11" i="1"/>
  <c r="B12" i="1"/>
  <c r="B13" i="1"/>
  <c r="G11" i="1"/>
  <c r="B11" i="1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E73" i="5"/>
  <c r="D73" i="5"/>
  <c r="C73" i="5"/>
  <c r="B73" i="5"/>
  <c r="E69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U36" i="5"/>
  <c r="U50" i="5" s="1"/>
  <c r="T36" i="5"/>
  <c r="T50" i="5" s="1"/>
  <c r="T83" i="5" s="1"/>
  <c r="S36" i="5"/>
  <c r="S50" i="5" s="1"/>
  <c r="S83" i="5" s="1"/>
  <c r="R36" i="5"/>
  <c r="R50" i="5" s="1"/>
  <c r="R83" i="5" s="1"/>
  <c r="Q36" i="5"/>
  <c r="Q50" i="5" s="1"/>
  <c r="P36" i="5"/>
  <c r="P50" i="5" s="1"/>
  <c r="P83" i="5" s="1"/>
  <c r="O36" i="5"/>
  <c r="O50" i="5" s="1"/>
  <c r="O83" i="5" s="1"/>
  <c r="N36" i="5"/>
  <c r="N50" i="5" s="1"/>
  <c r="N83" i="5" s="1"/>
  <c r="M36" i="5"/>
  <c r="M50" i="5" s="1"/>
  <c r="L36" i="5"/>
  <c r="L50" i="5" s="1"/>
  <c r="L83" i="5" s="1"/>
  <c r="K36" i="5"/>
  <c r="K50" i="5" s="1"/>
  <c r="K83" i="5" s="1"/>
  <c r="J36" i="5"/>
  <c r="J50" i="5" s="1"/>
  <c r="J83" i="5" s="1"/>
  <c r="I36" i="5"/>
  <c r="I50" i="5" s="1"/>
  <c r="I83" i="5" s="1"/>
  <c r="H36" i="5"/>
  <c r="H50" i="5" s="1"/>
  <c r="H83" i="5" s="1"/>
  <c r="G36" i="5"/>
  <c r="G50" i="5" s="1"/>
  <c r="G83" i="5" s="1"/>
  <c r="F36" i="5"/>
  <c r="F50" i="5" s="1"/>
  <c r="F83" i="5" s="1"/>
  <c r="E36" i="5"/>
  <c r="E50" i="5" s="1"/>
  <c r="E83" i="5" s="1"/>
  <c r="D36" i="5"/>
  <c r="D50" i="5" s="1"/>
  <c r="D83" i="5" s="1"/>
  <c r="C36" i="5"/>
  <c r="C50" i="5" s="1"/>
  <c r="C83" i="5" s="1"/>
  <c r="B36" i="5"/>
  <c r="B50" i="5" s="1"/>
  <c r="B83" i="5" s="1"/>
  <c r="U35" i="5"/>
  <c r="U49" i="5" s="1"/>
  <c r="U82" i="5" s="1"/>
  <c r="T35" i="5"/>
  <c r="T49" i="5" s="1"/>
  <c r="T82" i="5" s="1"/>
  <c r="S35" i="5"/>
  <c r="S49" i="5" s="1"/>
  <c r="S82" i="5" s="1"/>
  <c r="R35" i="5"/>
  <c r="R49" i="5" s="1"/>
  <c r="R82" i="5" s="1"/>
  <c r="Q35" i="5"/>
  <c r="Q49" i="5" s="1"/>
  <c r="Q82" i="5" s="1"/>
  <c r="P35" i="5"/>
  <c r="P49" i="5" s="1"/>
  <c r="P82" i="5" s="1"/>
  <c r="O35" i="5"/>
  <c r="O49" i="5" s="1"/>
  <c r="O82" i="5" s="1"/>
  <c r="N35" i="5"/>
  <c r="N49" i="5" s="1"/>
  <c r="N82" i="5" s="1"/>
  <c r="M35" i="5"/>
  <c r="M49" i="5" s="1"/>
  <c r="M82" i="5" s="1"/>
  <c r="L35" i="5"/>
  <c r="L49" i="5" s="1"/>
  <c r="L82" i="5" s="1"/>
  <c r="K35" i="5"/>
  <c r="K49" i="5" s="1"/>
  <c r="K82" i="5" s="1"/>
  <c r="J35" i="5"/>
  <c r="J49" i="5" s="1"/>
  <c r="J82" i="5" s="1"/>
  <c r="I35" i="5"/>
  <c r="I49" i="5" s="1"/>
  <c r="I82" i="5" s="1"/>
  <c r="H35" i="5"/>
  <c r="H49" i="5" s="1"/>
  <c r="H82" i="5" s="1"/>
  <c r="G35" i="5"/>
  <c r="G49" i="5" s="1"/>
  <c r="G82" i="5" s="1"/>
  <c r="F35" i="5"/>
  <c r="F49" i="5" s="1"/>
  <c r="F82" i="5" s="1"/>
  <c r="E35" i="5"/>
  <c r="E49" i="5" s="1"/>
  <c r="E82" i="5" s="1"/>
  <c r="D35" i="5"/>
  <c r="D49" i="5" s="1"/>
  <c r="D82" i="5" s="1"/>
  <c r="C35" i="5"/>
  <c r="C49" i="5" s="1"/>
  <c r="C82" i="5" s="1"/>
  <c r="B35" i="5"/>
  <c r="B49" i="5" s="1"/>
  <c r="B82" i="5" s="1"/>
  <c r="U34" i="5"/>
  <c r="U48" i="5" s="1"/>
  <c r="U81" i="5" s="1"/>
  <c r="T34" i="5"/>
  <c r="T48" i="5" s="1"/>
  <c r="T81" i="5" s="1"/>
  <c r="S34" i="5"/>
  <c r="S48" i="5" s="1"/>
  <c r="S81" i="5" s="1"/>
  <c r="R34" i="5"/>
  <c r="R48" i="5" s="1"/>
  <c r="R81" i="5" s="1"/>
  <c r="Q34" i="5"/>
  <c r="Q48" i="5" s="1"/>
  <c r="Q81" i="5" s="1"/>
  <c r="P34" i="5"/>
  <c r="P48" i="5" s="1"/>
  <c r="P81" i="5" s="1"/>
  <c r="O34" i="5"/>
  <c r="O48" i="5" s="1"/>
  <c r="O81" i="5" s="1"/>
  <c r="N34" i="5"/>
  <c r="N48" i="5" s="1"/>
  <c r="N81" i="5" s="1"/>
  <c r="M34" i="5"/>
  <c r="M48" i="5" s="1"/>
  <c r="M81" i="5" s="1"/>
  <c r="L34" i="5"/>
  <c r="L48" i="5" s="1"/>
  <c r="L81" i="5" s="1"/>
  <c r="K34" i="5"/>
  <c r="K48" i="5" s="1"/>
  <c r="K81" i="5" s="1"/>
  <c r="J34" i="5"/>
  <c r="J48" i="5" s="1"/>
  <c r="J81" i="5" s="1"/>
  <c r="I34" i="5"/>
  <c r="I48" i="5" s="1"/>
  <c r="I81" i="5" s="1"/>
  <c r="H34" i="5"/>
  <c r="H48" i="5" s="1"/>
  <c r="H81" i="5" s="1"/>
  <c r="G34" i="5"/>
  <c r="G48" i="5" s="1"/>
  <c r="G81" i="5" s="1"/>
  <c r="F34" i="5"/>
  <c r="F48" i="5" s="1"/>
  <c r="F81" i="5" s="1"/>
  <c r="E34" i="5"/>
  <c r="E48" i="5" s="1"/>
  <c r="E81" i="5" s="1"/>
  <c r="D34" i="5"/>
  <c r="D48" i="5" s="1"/>
  <c r="D81" i="5" s="1"/>
  <c r="C34" i="5"/>
  <c r="C48" i="5" s="1"/>
  <c r="C81" i="5" s="1"/>
  <c r="B34" i="5"/>
  <c r="B48" i="5" s="1"/>
  <c r="B81" i="5" s="1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U32" i="5"/>
  <c r="U47" i="5" s="1"/>
  <c r="U80" i="5" s="1"/>
  <c r="T32" i="5"/>
  <c r="T47" i="5" s="1"/>
  <c r="T80" i="5" s="1"/>
  <c r="S32" i="5"/>
  <c r="S47" i="5" s="1"/>
  <c r="S80" i="5" s="1"/>
  <c r="R32" i="5"/>
  <c r="R47" i="5" s="1"/>
  <c r="R80" i="5" s="1"/>
  <c r="Q32" i="5"/>
  <c r="Q47" i="5" s="1"/>
  <c r="Q80" i="5" s="1"/>
  <c r="P32" i="5"/>
  <c r="P47" i="5" s="1"/>
  <c r="P80" i="5" s="1"/>
  <c r="O32" i="5"/>
  <c r="O47" i="5" s="1"/>
  <c r="O80" i="5" s="1"/>
  <c r="N32" i="5"/>
  <c r="N47" i="5" s="1"/>
  <c r="N80" i="5" s="1"/>
  <c r="M32" i="5"/>
  <c r="M47" i="5" s="1"/>
  <c r="M80" i="5" s="1"/>
  <c r="L32" i="5"/>
  <c r="L47" i="5" s="1"/>
  <c r="L80" i="5" s="1"/>
  <c r="K32" i="5"/>
  <c r="K47" i="5" s="1"/>
  <c r="K80" i="5" s="1"/>
  <c r="J32" i="5"/>
  <c r="J47" i="5" s="1"/>
  <c r="J80" i="5" s="1"/>
  <c r="I32" i="5"/>
  <c r="I47" i="5" s="1"/>
  <c r="I80" i="5" s="1"/>
  <c r="H32" i="5"/>
  <c r="H47" i="5" s="1"/>
  <c r="H80" i="5" s="1"/>
  <c r="G32" i="5"/>
  <c r="G47" i="5" s="1"/>
  <c r="G80" i="5" s="1"/>
  <c r="F32" i="5"/>
  <c r="F47" i="5" s="1"/>
  <c r="F80" i="5" s="1"/>
  <c r="E32" i="5"/>
  <c r="E47" i="5" s="1"/>
  <c r="E80" i="5" s="1"/>
  <c r="D32" i="5"/>
  <c r="D47" i="5" s="1"/>
  <c r="D80" i="5" s="1"/>
  <c r="C32" i="5"/>
  <c r="C47" i="5" s="1"/>
  <c r="C80" i="5" s="1"/>
  <c r="B32" i="5"/>
  <c r="B47" i="5" s="1"/>
  <c r="B80" i="5" s="1"/>
  <c r="U31" i="5"/>
  <c r="U46" i="5" s="1"/>
  <c r="U79" i="5" s="1"/>
  <c r="T31" i="5"/>
  <c r="T46" i="5" s="1"/>
  <c r="T79" i="5" s="1"/>
  <c r="S31" i="5"/>
  <c r="S46" i="5" s="1"/>
  <c r="S79" i="5" s="1"/>
  <c r="R31" i="5"/>
  <c r="R46" i="5" s="1"/>
  <c r="R79" i="5" s="1"/>
  <c r="Q31" i="5"/>
  <c r="Q46" i="5" s="1"/>
  <c r="Q79" i="5" s="1"/>
  <c r="P31" i="5"/>
  <c r="P46" i="5" s="1"/>
  <c r="P79" i="5" s="1"/>
  <c r="O31" i="5"/>
  <c r="O46" i="5" s="1"/>
  <c r="O79" i="5" s="1"/>
  <c r="N31" i="5"/>
  <c r="N46" i="5" s="1"/>
  <c r="N79" i="5" s="1"/>
  <c r="M31" i="5"/>
  <c r="M46" i="5" s="1"/>
  <c r="M79" i="5" s="1"/>
  <c r="L31" i="5"/>
  <c r="L46" i="5" s="1"/>
  <c r="L79" i="5" s="1"/>
  <c r="K31" i="5"/>
  <c r="K46" i="5" s="1"/>
  <c r="K79" i="5" s="1"/>
  <c r="J31" i="5"/>
  <c r="J46" i="5" s="1"/>
  <c r="J79" i="5" s="1"/>
  <c r="I31" i="5"/>
  <c r="I46" i="5" s="1"/>
  <c r="I79" i="5" s="1"/>
  <c r="H31" i="5"/>
  <c r="H46" i="5" s="1"/>
  <c r="H79" i="5" s="1"/>
  <c r="G31" i="5"/>
  <c r="G46" i="5" s="1"/>
  <c r="G79" i="5" s="1"/>
  <c r="F31" i="5"/>
  <c r="F46" i="5" s="1"/>
  <c r="F79" i="5" s="1"/>
  <c r="E31" i="5"/>
  <c r="E46" i="5" s="1"/>
  <c r="E79" i="5" s="1"/>
  <c r="D31" i="5"/>
  <c r="D46" i="5" s="1"/>
  <c r="D79" i="5" s="1"/>
  <c r="C31" i="5"/>
  <c r="C46" i="5" s="1"/>
  <c r="C79" i="5" s="1"/>
  <c r="B31" i="5"/>
  <c r="B46" i="5" s="1"/>
  <c r="B79" i="5" s="1"/>
  <c r="U30" i="5"/>
  <c r="U45" i="5" s="1"/>
  <c r="U78" i="5" s="1"/>
  <c r="T30" i="5"/>
  <c r="T45" i="5" s="1"/>
  <c r="T78" i="5" s="1"/>
  <c r="S30" i="5"/>
  <c r="S45" i="5" s="1"/>
  <c r="S78" i="5" s="1"/>
  <c r="R30" i="5"/>
  <c r="R45" i="5" s="1"/>
  <c r="R78" i="5" s="1"/>
  <c r="Q30" i="5"/>
  <c r="Q45" i="5" s="1"/>
  <c r="Q78" i="5" s="1"/>
  <c r="P30" i="5"/>
  <c r="P45" i="5" s="1"/>
  <c r="P78" i="5" s="1"/>
  <c r="O30" i="5"/>
  <c r="O45" i="5" s="1"/>
  <c r="O78" i="5" s="1"/>
  <c r="N30" i="5"/>
  <c r="N45" i="5" s="1"/>
  <c r="N78" i="5" s="1"/>
  <c r="M30" i="5"/>
  <c r="M45" i="5" s="1"/>
  <c r="M78" i="5" s="1"/>
  <c r="L30" i="5"/>
  <c r="L45" i="5" s="1"/>
  <c r="L78" i="5" s="1"/>
  <c r="K30" i="5"/>
  <c r="K45" i="5" s="1"/>
  <c r="K78" i="5" s="1"/>
  <c r="J30" i="5"/>
  <c r="J45" i="5" s="1"/>
  <c r="J78" i="5" s="1"/>
  <c r="I30" i="5"/>
  <c r="I45" i="5" s="1"/>
  <c r="I78" i="5" s="1"/>
  <c r="H30" i="5"/>
  <c r="H45" i="5" s="1"/>
  <c r="H78" i="5" s="1"/>
  <c r="G30" i="5"/>
  <c r="G45" i="5" s="1"/>
  <c r="G78" i="5" s="1"/>
  <c r="F30" i="5"/>
  <c r="F45" i="5" s="1"/>
  <c r="F78" i="5" s="1"/>
  <c r="E30" i="5"/>
  <c r="E45" i="5" s="1"/>
  <c r="E78" i="5" s="1"/>
  <c r="D30" i="5"/>
  <c r="D45" i="5" s="1"/>
  <c r="D78" i="5" s="1"/>
  <c r="C30" i="5"/>
  <c r="C45" i="5" s="1"/>
  <c r="C78" i="5" s="1"/>
  <c r="B30" i="5"/>
  <c r="B45" i="5" s="1"/>
  <c r="B78" i="5" s="1"/>
  <c r="U29" i="5"/>
  <c r="U44" i="5" s="1"/>
  <c r="U77" i="5" s="1"/>
  <c r="T29" i="5"/>
  <c r="T44" i="5" s="1"/>
  <c r="T77" i="5" s="1"/>
  <c r="S29" i="5"/>
  <c r="S44" i="5" s="1"/>
  <c r="S77" i="5" s="1"/>
  <c r="R29" i="5"/>
  <c r="R44" i="5" s="1"/>
  <c r="R77" i="5" s="1"/>
  <c r="Q29" i="5"/>
  <c r="Q44" i="5" s="1"/>
  <c r="Q77" i="5" s="1"/>
  <c r="P29" i="5"/>
  <c r="P44" i="5" s="1"/>
  <c r="P77" i="5" s="1"/>
  <c r="O29" i="5"/>
  <c r="O44" i="5" s="1"/>
  <c r="O77" i="5" s="1"/>
  <c r="N29" i="5"/>
  <c r="N44" i="5" s="1"/>
  <c r="N77" i="5" s="1"/>
  <c r="M29" i="5"/>
  <c r="M44" i="5" s="1"/>
  <c r="M77" i="5" s="1"/>
  <c r="L29" i="5"/>
  <c r="L44" i="5" s="1"/>
  <c r="L77" i="5" s="1"/>
  <c r="K29" i="5"/>
  <c r="K44" i="5" s="1"/>
  <c r="K77" i="5" s="1"/>
  <c r="J29" i="5"/>
  <c r="J44" i="5" s="1"/>
  <c r="J77" i="5" s="1"/>
  <c r="I29" i="5"/>
  <c r="I44" i="5" s="1"/>
  <c r="I77" i="5" s="1"/>
  <c r="H29" i="5"/>
  <c r="H44" i="5" s="1"/>
  <c r="H77" i="5" s="1"/>
  <c r="G29" i="5"/>
  <c r="G44" i="5" s="1"/>
  <c r="G77" i="5" s="1"/>
  <c r="F29" i="5"/>
  <c r="F44" i="5" s="1"/>
  <c r="F77" i="5" s="1"/>
  <c r="E29" i="5"/>
  <c r="E44" i="5" s="1"/>
  <c r="E77" i="5" s="1"/>
  <c r="D29" i="5"/>
  <c r="D44" i="5" s="1"/>
  <c r="D77" i="5" s="1"/>
  <c r="C29" i="5"/>
  <c r="C44" i="5" s="1"/>
  <c r="C77" i="5" s="1"/>
  <c r="B29" i="5"/>
  <c r="B44" i="5" s="1"/>
  <c r="B77" i="5" s="1"/>
  <c r="U28" i="5"/>
  <c r="U43" i="5" s="1"/>
  <c r="U76" i="5" s="1"/>
  <c r="T28" i="5"/>
  <c r="T43" i="5" s="1"/>
  <c r="T76" i="5" s="1"/>
  <c r="S28" i="5"/>
  <c r="S43" i="5" s="1"/>
  <c r="S76" i="5" s="1"/>
  <c r="R28" i="5"/>
  <c r="R43" i="5" s="1"/>
  <c r="R76" i="5" s="1"/>
  <c r="Q28" i="5"/>
  <c r="Q43" i="5" s="1"/>
  <c r="Q76" i="5" s="1"/>
  <c r="P28" i="5"/>
  <c r="P43" i="5" s="1"/>
  <c r="P76" i="5" s="1"/>
  <c r="O28" i="5"/>
  <c r="O43" i="5" s="1"/>
  <c r="O76" i="5" s="1"/>
  <c r="N28" i="5"/>
  <c r="N43" i="5" s="1"/>
  <c r="N76" i="5" s="1"/>
  <c r="M28" i="5"/>
  <c r="M43" i="5" s="1"/>
  <c r="M76" i="5" s="1"/>
  <c r="L28" i="5"/>
  <c r="L43" i="5" s="1"/>
  <c r="L76" i="5" s="1"/>
  <c r="K28" i="5"/>
  <c r="K43" i="5" s="1"/>
  <c r="K76" i="5" s="1"/>
  <c r="J28" i="5"/>
  <c r="J43" i="5" s="1"/>
  <c r="J76" i="5" s="1"/>
  <c r="I28" i="5"/>
  <c r="I43" i="5" s="1"/>
  <c r="I76" i="5" s="1"/>
  <c r="H28" i="5"/>
  <c r="H43" i="5" s="1"/>
  <c r="H76" i="5" s="1"/>
  <c r="G28" i="5"/>
  <c r="G43" i="5" s="1"/>
  <c r="G76" i="5" s="1"/>
  <c r="F28" i="5"/>
  <c r="F43" i="5" s="1"/>
  <c r="F76" i="5" s="1"/>
  <c r="E28" i="5"/>
  <c r="E43" i="5" s="1"/>
  <c r="E76" i="5" s="1"/>
  <c r="D28" i="5"/>
  <c r="D43" i="5" s="1"/>
  <c r="D76" i="5" s="1"/>
  <c r="C28" i="5"/>
  <c r="C43" i="5" s="1"/>
  <c r="C76" i="5" s="1"/>
  <c r="B28" i="5"/>
  <c r="B43" i="5" s="1"/>
  <c r="B76" i="5" s="1"/>
  <c r="U27" i="5"/>
  <c r="U42" i="5" s="1"/>
  <c r="U75" i="5" s="1"/>
  <c r="T27" i="5"/>
  <c r="T42" i="5" s="1"/>
  <c r="T75" i="5" s="1"/>
  <c r="S27" i="5"/>
  <c r="S42" i="5" s="1"/>
  <c r="S75" i="5" s="1"/>
  <c r="R27" i="5"/>
  <c r="R42" i="5" s="1"/>
  <c r="R75" i="5" s="1"/>
  <c r="Q27" i="5"/>
  <c r="Q42" i="5" s="1"/>
  <c r="Q75" i="5" s="1"/>
  <c r="P27" i="5"/>
  <c r="P42" i="5" s="1"/>
  <c r="P75" i="5" s="1"/>
  <c r="O27" i="5"/>
  <c r="O42" i="5" s="1"/>
  <c r="O75" i="5" s="1"/>
  <c r="N27" i="5"/>
  <c r="N42" i="5" s="1"/>
  <c r="N75" i="5" s="1"/>
  <c r="M27" i="5"/>
  <c r="M42" i="5" s="1"/>
  <c r="M75" i="5" s="1"/>
  <c r="L27" i="5"/>
  <c r="L42" i="5" s="1"/>
  <c r="L75" i="5" s="1"/>
  <c r="K27" i="5"/>
  <c r="K42" i="5" s="1"/>
  <c r="K75" i="5" s="1"/>
  <c r="J27" i="5"/>
  <c r="J42" i="5" s="1"/>
  <c r="J75" i="5" s="1"/>
  <c r="I27" i="5"/>
  <c r="I42" i="5" s="1"/>
  <c r="I75" i="5" s="1"/>
  <c r="H27" i="5"/>
  <c r="H42" i="5" s="1"/>
  <c r="H75" i="5" s="1"/>
  <c r="G27" i="5"/>
  <c r="G42" i="5" s="1"/>
  <c r="G75" i="5" s="1"/>
  <c r="F27" i="5"/>
  <c r="F42" i="5" s="1"/>
  <c r="F75" i="5" s="1"/>
  <c r="E27" i="5"/>
  <c r="E42" i="5" s="1"/>
  <c r="E75" i="5" s="1"/>
  <c r="D27" i="5"/>
  <c r="D42" i="5" s="1"/>
  <c r="D75" i="5" s="1"/>
  <c r="C27" i="5"/>
  <c r="C42" i="5" s="1"/>
  <c r="C75" i="5" s="1"/>
  <c r="B27" i="5"/>
  <c r="B42" i="5" s="1"/>
  <c r="B75" i="5" s="1"/>
  <c r="U26" i="5"/>
  <c r="U41" i="5" s="1"/>
  <c r="U74" i="5" s="1"/>
  <c r="T26" i="5"/>
  <c r="T41" i="5" s="1"/>
  <c r="T74" i="5" s="1"/>
  <c r="S26" i="5"/>
  <c r="S41" i="5" s="1"/>
  <c r="S74" i="5" s="1"/>
  <c r="R26" i="5"/>
  <c r="R41" i="5" s="1"/>
  <c r="R74" i="5" s="1"/>
  <c r="Q26" i="5"/>
  <c r="Q41" i="5" s="1"/>
  <c r="Q74" i="5" s="1"/>
  <c r="P26" i="5"/>
  <c r="P41" i="5" s="1"/>
  <c r="P74" i="5" s="1"/>
  <c r="O26" i="5"/>
  <c r="O41" i="5" s="1"/>
  <c r="O74" i="5" s="1"/>
  <c r="N26" i="5"/>
  <c r="N41" i="5" s="1"/>
  <c r="N74" i="5" s="1"/>
  <c r="M26" i="5"/>
  <c r="M41" i="5" s="1"/>
  <c r="M74" i="5" s="1"/>
  <c r="L26" i="5"/>
  <c r="L41" i="5" s="1"/>
  <c r="L74" i="5" s="1"/>
  <c r="K26" i="5"/>
  <c r="K41" i="5" s="1"/>
  <c r="K74" i="5" s="1"/>
  <c r="J26" i="5"/>
  <c r="J41" i="5" s="1"/>
  <c r="J74" i="5" s="1"/>
  <c r="I26" i="5"/>
  <c r="I41" i="5" s="1"/>
  <c r="I74" i="5" s="1"/>
  <c r="H26" i="5"/>
  <c r="H41" i="5" s="1"/>
  <c r="H74" i="5" s="1"/>
  <c r="G26" i="5"/>
  <c r="G41" i="5" s="1"/>
  <c r="G74" i="5" s="1"/>
  <c r="F26" i="5"/>
  <c r="F41" i="5" s="1"/>
  <c r="F74" i="5" s="1"/>
  <c r="E26" i="5"/>
  <c r="E41" i="5" s="1"/>
  <c r="E74" i="5" s="1"/>
  <c r="D26" i="5"/>
  <c r="D41" i="5" s="1"/>
  <c r="D74" i="5" s="1"/>
  <c r="C26" i="5"/>
  <c r="C41" i="5" s="1"/>
  <c r="C74" i="5" s="1"/>
  <c r="B26" i="5"/>
  <c r="B41" i="5" s="1"/>
  <c r="B74" i="5" s="1"/>
  <c r="B88" i="5" s="1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E69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U36" i="4"/>
  <c r="U50" i="4" s="1"/>
  <c r="T36" i="4"/>
  <c r="T50" i="4" s="1"/>
  <c r="T83" i="4" s="1"/>
  <c r="S36" i="4"/>
  <c r="S50" i="4" s="1"/>
  <c r="R36" i="4"/>
  <c r="R50" i="4" s="1"/>
  <c r="R83" i="4" s="1"/>
  <c r="Q36" i="4"/>
  <c r="Q50" i="4" s="1"/>
  <c r="P36" i="4"/>
  <c r="P50" i="4" s="1"/>
  <c r="P83" i="4" s="1"/>
  <c r="O36" i="4"/>
  <c r="O50" i="4" s="1"/>
  <c r="N36" i="4"/>
  <c r="N50" i="4" s="1"/>
  <c r="N83" i="4" s="1"/>
  <c r="M36" i="4"/>
  <c r="M50" i="4" s="1"/>
  <c r="L36" i="4"/>
  <c r="L50" i="4" s="1"/>
  <c r="L83" i="4" s="1"/>
  <c r="K36" i="4"/>
  <c r="K50" i="4" s="1"/>
  <c r="J36" i="4"/>
  <c r="J50" i="4" s="1"/>
  <c r="J83" i="4" s="1"/>
  <c r="I36" i="4"/>
  <c r="I50" i="4" s="1"/>
  <c r="H36" i="4"/>
  <c r="H50" i="4" s="1"/>
  <c r="H83" i="4" s="1"/>
  <c r="G36" i="4"/>
  <c r="G50" i="4" s="1"/>
  <c r="F36" i="4"/>
  <c r="F50" i="4" s="1"/>
  <c r="F83" i="4" s="1"/>
  <c r="E36" i="4"/>
  <c r="E50" i="4" s="1"/>
  <c r="D36" i="4"/>
  <c r="D50" i="4" s="1"/>
  <c r="D83" i="4" s="1"/>
  <c r="C36" i="4"/>
  <c r="C50" i="4" s="1"/>
  <c r="B36" i="4"/>
  <c r="B50" i="4" s="1"/>
  <c r="B83" i="4" s="1"/>
  <c r="U35" i="4"/>
  <c r="U49" i="4" s="1"/>
  <c r="T35" i="4"/>
  <c r="T49" i="4" s="1"/>
  <c r="T82" i="4" s="1"/>
  <c r="S35" i="4"/>
  <c r="S49" i="4" s="1"/>
  <c r="R35" i="4"/>
  <c r="R49" i="4" s="1"/>
  <c r="R82" i="4" s="1"/>
  <c r="Q35" i="4"/>
  <c r="Q49" i="4" s="1"/>
  <c r="P35" i="4"/>
  <c r="P49" i="4" s="1"/>
  <c r="P82" i="4" s="1"/>
  <c r="O35" i="4"/>
  <c r="O49" i="4" s="1"/>
  <c r="N35" i="4"/>
  <c r="N49" i="4" s="1"/>
  <c r="N82" i="4" s="1"/>
  <c r="M35" i="4"/>
  <c r="M49" i="4" s="1"/>
  <c r="L35" i="4"/>
  <c r="L49" i="4" s="1"/>
  <c r="L82" i="4" s="1"/>
  <c r="K35" i="4"/>
  <c r="K49" i="4" s="1"/>
  <c r="J35" i="4"/>
  <c r="J49" i="4" s="1"/>
  <c r="J82" i="4" s="1"/>
  <c r="I35" i="4"/>
  <c r="I49" i="4" s="1"/>
  <c r="H35" i="4"/>
  <c r="H49" i="4" s="1"/>
  <c r="H82" i="4" s="1"/>
  <c r="G35" i="4"/>
  <c r="G49" i="4" s="1"/>
  <c r="F35" i="4"/>
  <c r="F49" i="4" s="1"/>
  <c r="F82" i="4" s="1"/>
  <c r="E35" i="4"/>
  <c r="E49" i="4" s="1"/>
  <c r="E82" i="4" s="1"/>
  <c r="D35" i="4"/>
  <c r="D49" i="4" s="1"/>
  <c r="D82" i="4" s="1"/>
  <c r="C35" i="4"/>
  <c r="C49" i="4" s="1"/>
  <c r="C82" i="4" s="1"/>
  <c r="B35" i="4"/>
  <c r="B49" i="4" s="1"/>
  <c r="B82" i="4" s="1"/>
  <c r="U34" i="4"/>
  <c r="U48" i="4" s="1"/>
  <c r="U81" i="4" s="1"/>
  <c r="T34" i="4"/>
  <c r="T48" i="4" s="1"/>
  <c r="T81" i="4" s="1"/>
  <c r="S34" i="4"/>
  <c r="S48" i="4" s="1"/>
  <c r="S81" i="4" s="1"/>
  <c r="R34" i="4"/>
  <c r="R48" i="4" s="1"/>
  <c r="R81" i="4" s="1"/>
  <c r="Q34" i="4"/>
  <c r="Q48" i="4" s="1"/>
  <c r="Q81" i="4" s="1"/>
  <c r="P34" i="4"/>
  <c r="P48" i="4" s="1"/>
  <c r="P81" i="4" s="1"/>
  <c r="O34" i="4"/>
  <c r="O48" i="4" s="1"/>
  <c r="O81" i="4" s="1"/>
  <c r="N34" i="4"/>
  <c r="N48" i="4" s="1"/>
  <c r="N81" i="4" s="1"/>
  <c r="M34" i="4"/>
  <c r="M48" i="4" s="1"/>
  <c r="M81" i="4" s="1"/>
  <c r="L34" i="4"/>
  <c r="L48" i="4" s="1"/>
  <c r="L81" i="4" s="1"/>
  <c r="K34" i="4"/>
  <c r="K48" i="4" s="1"/>
  <c r="K81" i="4" s="1"/>
  <c r="J34" i="4"/>
  <c r="J48" i="4" s="1"/>
  <c r="J81" i="4" s="1"/>
  <c r="I34" i="4"/>
  <c r="I48" i="4" s="1"/>
  <c r="I81" i="4" s="1"/>
  <c r="H34" i="4"/>
  <c r="H48" i="4" s="1"/>
  <c r="H81" i="4" s="1"/>
  <c r="G34" i="4"/>
  <c r="G48" i="4" s="1"/>
  <c r="G81" i="4" s="1"/>
  <c r="F34" i="4"/>
  <c r="F48" i="4" s="1"/>
  <c r="F81" i="4" s="1"/>
  <c r="E34" i="4"/>
  <c r="E48" i="4" s="1"/>
  <c r="E81" i="4" s="1"/>
  <c r="D34" i="4"/>
  <c r="D48" i="4" s="1"/>
  <c r="D81" i="4" s="1"/>
  <c r="C34" i="4"/>
  <c r="C48" i="4" s="1"/>
  <c r="C81" i="4" s="1"/>
  <c r="B34" i="4"/>
  <c r="B48" i="4" s="1"/>
  <c r="B81" i="4" s="1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U32" i="4"/>
  <c r="U47" i="4" s="1"/>
  <c r="U80" i="4" s="1"/>
  <c r="T32" i="4"/>
  <c r="T47" i="4" s="1"/>
  <c r="T80" i="4" s="1"/>
  <c r="S32" i="4"/>
  <c r="S47" i="4" s="1"/>
  <c r="S80" i="4" s="1"/>
  <c r="R32" i="4"/>
  <c r="R47" i="4" s="1"/>
  <c r="R80" i="4" s="1"/>
  <c r="Q32" i="4"/>
  <c r="Q47" i="4" s="1"/>
  <c r="Q80" i="4" s="1"/>
  <c r="P32" i="4"/>
  <c r="P47" i="4" s="1"/>
  <c r="P80" i="4" s="1"/>
  <c r="O32" i="4"/>
  <c r="O47" i="4" s="1"/>
  <c r="O80" i="4" s="1"/>
  <c r="N32" i="4"/>
  <c r="N47" i="4" s="1"/>
  <c r="N80" i="4" s="1"/>
  <c r="M32" i="4"/>
  <c r="M47" i="4" s="1"/>
  <c r="M80" i="4" s="1"/>
  <c r="L32" i="4"/>
  <c r="L47" i="4" s="1"/>
  <c r="L80" i="4" s="1"/>
  <c r="K32" i="4"/>
  <c r="K47" i="4" s="1"/>
  <c r="K80" i="4" s="1"/>
  <c r="J32" i="4"/>
  <c r="J47" i="4" s="1"/>
  <c r="J80" i="4" s="1"/>
  <c r="I32" i="4"/>
  <c r="I47" i="4" s="1"/>
  <c r="I80" i="4" s="1"/>
  <c r="H32" i="4"/>
  <c r="H47" i="4" s="1"/>
  <c r="H80" i="4" s="1"/>
  <c r="G32" i="4"/>
  <c r="G47" i="4" s="1"/>
  <c r="G80" i="4" s="1"/>
  <c r="F32" i="4"/>
  <c r="F47" i="4" s="1"/>
  <c r="F80" i="4" s="1"/>
  <c r="E32" i="4"/>
  <c r="E47" i="4" s="1"/>
  <c r="E80" i="4" s="1"/>
  <c r="D32" i="4"/>
  <c r="D47" i="4" s="1"/>
  <c r="D80" i="4" s="1"/>
  <c r="C32" i="4"/>
  <c r="C47" i="4" s="1"/>
  <c r="C80" i="4" s="1"/>
  <c r="B32" i="4"/>
  <c r="B47" i="4" s="1"/>
  <c r="B80" i="4" s="1"/>
  <c r="U31" i="4"/>
  <c r="U46" i="4" s="1"/>
  <c r="U79" i="4" s="1"/>
  <c r="T31" i="4"/>
  <c r="T46" i="4" s="1"/>
  <c r="T79" i="4" s="1"/>
  <c r="S31" i="4"/>
  <c r="S46" i="4" s="1"/>
  <c r="S79" i="4" s="1"/>
  <c r="R31" i="4"/>
  <c r="R46" i="4" s="1"/>
  <c r="R79" i="4" s="1"/>
  <c r="Q31" i="4"/>
  <c r="Q46" i="4" s="1"/>
  <c r="Q79" i="4" s="1"/>
  <c r="P31" i="4"/>
  <c r="P46" i="4" s="1"/>
  <c r="P79" i="4" s="1"/>
  <c r="O31" i="4"/>
  <c r="O46" i="4" s="1"/>
  <c r="O79" i="4" s="1"/>
  <c r="N31" i="4"/>
  <c r="N46" i="4" s="1"/>
  <c r="N79" i="4" s="1"/>
  <c r="M31" i="4"/>
  <c r="M46" i="4" s="1"/>
  <c r="M79" i="4" s="1"/>
  <c r="L31" i="4"/>
  <c r="L46" i="4" s="1"/>
  <c r="L79" i="4" s="1"/>
  <c r="K31" i="4"/>
  <c r="K46" i="4" s="1"/>
  <c r="K79" i="4" s="1"/>
  <c r="J31" i="4"/>
  <c r="J46" i="4" s="1"/>
  <c r="J79" i="4" s="1"/>
  <c r="I31" i="4"/>
  <c r="I46" i="4" s="1"/>
  <c r="I79" i="4" s="1"/>
  <c r="H31" i="4"/>
  <c r="H46" i="4" s="1"/>
  <c r="H79" i="4" s="1"/>
  <c r="G31" i="4"/>
  <c r="G46" i="4" s="1"/>
  <c r="G79" i="4" s="1"/>
  <c r="F31" i="4"/>
  <c r="F46" i="4" s="1"/>
  <c r="F79" i="4" s="1"/>
  <c r="E31" i="4"/>
  <c r="E46" i="4" s="1"/>
  <c r="E79" i="4" s="1"/>
  <c r="D31" i="4"/>
  <c r="D46" i="4" s="1"/>
  <c r="D79" i="4" s="1"/>
  <c r="C31" i="4"/>
  <c r="C46" i="4" s="1"/>
  <c r="C79" i="4" s="1"/>
  <c r="B31" i="4"/>
  <c r="B46" i="4" s="1"/>
  <c r="B79" i="4" s="1"/>
  <c r="U30" i="4"/>
  <c r="U45" i="4" s="1"/>
  <c r="U78" i="4" s="1"/>
  <c r="T30" i="4"/>
  <c r="T45" i="4" s="1"/>
  <c r="T78" i="4" s="1"/>
  <c r="S30" i="4"/>
  <c r="S45" i="4" s="1"/>
  <c r="S78" i="4" s="1"/>
  <c r="R30" i="4"/>
  <c r="R45" i="4" s="1"/>
  <c r="R78" i="4" s="1"/>
  <c r="Q30" i="4"/>
  <c r="Q45" i="4" s="1"/>
  <c r="Q78" i="4" s="1"/>
  <c r="P30" i="4"/>
  <c r="P45" i="4" s="1"/>
  <c r="P78" i="4" s="1"/>
  <c r="O30" i="4"/>
  <c r="O45" i="4" s="1"/>
  <c r="O78" i="4" s="1"/>
  <c r="N30" i="4"/>
  <c r="N45" i="4" s="1"/>
  <c r="N78" i="4" s="1"/>
  <c r="M30" i="4"/>
  <c r="M45" i="4" s="1"/>
  <c r="M78" i="4" s="1"/>
  <c r="L30" i="4"/>
  <c r="L45" i="4" s="1"/>
  <c r="L78" i="4" s="1"/>
  <c r="K30" i="4"/>
  <c r="K45" i="4" s="1"/>
  <c r="K78" i="4" s="1"/>
  <c r="J30" i="4"/>
  <c r="J45" i="4" s="1"/>
  <c r="J78" i="4" s="1"/>
  <c r="I30" i="4"/>
  <c r="I45" i="4" s="1"/>
  <c r="I78" i="4" s="1"/>
  <c r="H30" i="4"/>
  <c r="H45" i="4" s="1"/>
  <c r="H78" i="4" s="1"/>
  <c r="G30" i="4"/>
  <c r="G45" i="4" s="1"/>
  <c r="G78" i="4" s="1"/>
  <c r="F30" i="4"/>
  <c r="F45" i="4" s="1"/>
  <c r="F78" i="4" s="1"/>
  <c r="E30" i="4"/>
  <c r="E45" i="4" s="1"/>
  <c r="E78" i="4" s="1"/>
  <c r="D30" i="4"/>
  <c r="D45" i="4" s="1"/>
  <c r="D78" i="4" s="1"/>
  <c r="C30" i="4"/>
  <c r="C45" i="4" s="1"/>
  <c r="C78" i="4" s="1"/>
  <c r="B30" i="4"/>
  <c r="B45" i="4" s="1"/>
  <c r="B78" i="4" s="1"/>
  <c r="U29" i="4"/>
  <c r="U44" i="4" s="1"/>
  <c r="U77" i="4" s="1"/>
  <c r="T29" i="4"/>
  <c r="T44" i="4" s="1"/>
  <c r="T77" i="4" s="1"/>
  <c r="S29" i="4"/>
  <c r="S44" i="4" s="1"/>
  <c r="S77" i="4" s="1"/>
  <c r="R29" i="4"/>
  <c r="R44" i="4" s="1"/>
  <c r="R77" i="4" s="1"/>
  <c r="Q29" i="4"/>
  <c r="Q44" i="4" s="1"/>
  <c r="Q77" i="4" s="1"/>
  <c r="P29" i="4"/>
  <c r="P44" i="4" s="1"/>
  <c r="P77" i="4" s="1"/>
  <c r="O29" i="4"/>
  <c r="O44" i="4" s="1"/>
  <c r="O77" i="4" s="1"/>
  <c r="N29" i="4"/>
  <c r="N44" i="4" s="1"/>
  <c r="N77" i="4" s="1"/>
  <c r="M29" i="4"/>
  <c r="M44" i="4" s="1"/>
  <c r="M77" i="4" s="1"/>
  <c r="L29" i="4"/>
  <c r="L44" i="4" s="1"/>
  <c r="L77" i="4" s="1"/>
  <c r="K29" i="4"/>
  <c r="K44" i="4" s="1"/>
  <c r="K77" i="4" s="1"/>
  <c r="J29" i="4"/>
  <c r="J44" i="4" s="1"/>
  <c r="J77" i="4" s="1"/>
  <c r="I29" i="4"/>
  <c r="I44" i="4" s="1"/>
  <c r="I77" i="4" s="1"/>
  <c r="H29" i="4"/>
  <c r="H44" i="4" s="1"/>
  <c r="H77" i="4" s="1"/>
  <c r="G29" i="4"/>
  <c r="G44" i="4" s="1"/>
  <c r="G77" i="4" s="1"/>
  <c r="F29" i="4"/>
  <c r="F44" i="4" s="1"/>
  <c r="F77" i="4" s="1"/>
  <c r="E29" i="4"/>
  <c r="E44" i="4" s="1"/>
  <c r="E77" i="4" s="1"/>
  <c r="D29" i="4"/>
  <c r="D44" i="4" s="1"/>
  <c r="D77" i="4" s="1"/>
  <c r="C29" i="4"/>
  <c r="C44" i="4" s="1"/>
  <c r="C77" i="4" s="1"/>
  <c r="B29" i="4"/>
  <c r="B44" i="4" s="1"/>
  <c r="B77" i="4" s="1"/>
  <c r="U28" i="4"/>
  <c r="U43" i="4" s="1"/>
  <c r="U76" i="4" s="1"/>
  <c r="T28" i="4"/>
  <c r="T43" i="4" s="1"/>
  <c r="T76" i="4" s="1"/>
  <c r="S28" i="4"/>
  <c r="S43" i="4" s="1"/>
  <c r="S76" i="4" s="1"/>
  <c r="R28" i="4"/>
  <c r="R43" i="4" s="1"/>
  <c r="R76" i="4" s="1"/>
  <c r="Q28" i="4"/>
  <c r="Q43" i="4" s="1"/>
  <c r="Q76" i="4" s="1"/>
  <c r="P28" i="4"/>
  <c r="P43" i="4" s="1"/>
  <c r="P76" i="4" s="1"/>
  <c r="O28" i="4"/>
  <c r="O43" i="4" s="1"/>
  <c r="O76" i="4" s="1"/>
  <c r="N28" i="4"/>
  <c r="N43" i="4" s="1"/>
  <c r="N76" i="4" s="1"/>
  <c r="M28" i="4"/>
  <c r="M43" i="4" s="1"/>
  <c r="M76" i="4" s="1"/>
  <c r="L28" i="4"/>
  <c r="L43" i="4" s="1"/>
  <c r="L76" i="4" s="1"/>
  <c r="K28" i="4"/>
  <c r="K43" i="4" s="1"/>
  <c r="K76" i="4" s="1"/>
  <c r="J28" i="4"/>
  <c r="J43" i="4" s="1"/>
  <c r="J76" i="4" s="1"/>
  <c r="I28" i="4"/>
  <c r="I43" i="4" s="1"/>
  <c r="I76" i="4" s="1"/>
  <c r="H28" i="4"/>
  <c r="H43" i="4" s="1"/>
  <c r="H76" i="4" s="1"/>
  <c r="G28" i="4"/>
  <c r="G43" i="4" s="1"/>
  <c r="G76" i="4" s="1"/>
  <c r="F28" i="4"/>
  <c r="F43" i="4" s="1"/>
  <c r="F76" i="4" s="1"/>
  <c r="E28" i="4"/>
  <c r="E43" i="4" s="1"/>
  <c r="E76" i="4" s="1"/>
  <c r="D28" i="4"/>
  <c r="D43" i="4" s="1"/>
  <c r="D76" i="4" s="1"/>
  <c r="C28" i="4"/>
  <c r="C43" i="4" s="1"/>
  <c r="C76" i="4" s="1"/>
  <c r="B28" i="4"/>
  <c r="B43" i="4" s="1"/>
  <c r="B76" i="4" s="1"/>
  <c r="U27" i="4"/>
  <c r="U42" i="4" s="1"/>
  <c r="U75" i="4" s="1"/>
  <c r="T27" i="4"/>
  <c r="T42" i="4" s="1"/>
  <c r="T75" i="4" s="1"/>
  <c r="S27" i="4"/>
  <c r="S42" i="4" s="1"/>
  <c r="S75" i="4" s="1"/>
  <c r="R27" i="4"/>
  <c r="R42" i="4" s="1"/>
  <c r="R75" i="4" s="1"/>
  <c r="Q27" i="4"/>
  <c r="Q42" i="4" s="1"/>
  <c r="Q75" i="4" s="1"/>
  <c r="P27" i="4"/>
  <c r="P42" i="4" s="1"/>
  <c r="P75" i="4" s="1"/>
  <c r="O27" i="4"/>
  <c r="O42" i="4" s="1"/>
  <c r="O75" i="4" s="1"/>
  <c r="N27" i="4"/>
  <c r="N42" i="4" s="1"/>
  <c r="N75" i="4" s="1"/>
  <c r="M27" i="4"/>
  <c r="M42" i="4" s="1"/>
  <c r="M75" i="4" s="1"/>
  <c r="L27" i="4"/>
  <c r="L42" i="4" s="1"/>
  <c r="L75" i="4" s="1"/>
  <c r="K27" i="4"/>
  <c r="K42" i="4" s="1"/>
  <c r="K75" i="4" s="1"/>
  <c r="J27" i="4"/>
  <c r="J42" i="4" s="1"/>
  <c r="J75" i="4" s="1"/>
  <c r="I27" i="4"/>
  <c r="I42" i="4" s="1"/>
  <c r="I75" i="4" s="1"/>
  <c r="H27" i="4"/>
  <c r="H42" i="4" s="1"/>
  <c r="H75" i="4" s="1"/>
  <c r="G27" i="4"/>
  <c r="G42" i="4" s="1"/>
  <c r="G75" i="4" s="1"/>
  <c r="F27" i="4"/>
  <c r="F42" i="4" s="1"/>
  <c r="F75" i="4" s="1"/>
  <c r="E27" i="4"/>
  <c r="E42" i="4" s="1"/>
  <c r="E75" i="4" s="1"/>
  <c r="D27" i="4"/>
  <c r="D42" i="4" s="1"/>
  <c r="D75" i="4" s="1"/>
  <c r="C27" i="4"/>
  <c r="C42" i="4" s="1"/>
  <c r="C75" i="4" s="1"/>
  <c r="B27" i="4"/>
  <c r="B42" i="4" s="1"/>
  <c r="B75" i="4" s="1"/>
  <c r="U26" i="4"/>
  <c r="U41" i="4" s="1"/>
  <c r="U74" i="4" s="1"/>
  <c r="T26" i="4"/>
  <c r="T41" i="4" s="1"/>
  <c r="T74" i="4" s="1"/>
  <c r="S26" i="4"/>
  <c r="S41" i="4" s="1"/>
  <c r="S74" i="4" s="1"/>
  <c r="R26" i="4"/>
  <c r="R41" i="4" s="1"/>
  <c r="R74" i="4" s="1"/>
  <c r="Q26" i="4"/>
  <c r="Q41" i="4" s="1"/>
  <c r="Q74" i="4" s="1"/>
  <c r="P26" i="4"/>
  <c r="P41" i="4" s="1"/>
  <c r="P74" i="4" s="1"/>
  <c r="O26" i="4"/>
  <c r="O41" i="4" s="1"/>
  <c r="O74" i="4" s="1"/>
  <c r="N26" i="4"/>
  <c r="N41" i="4" s="1"/>
  <c r="N74" i="4" s="1"/>
  <c r="M26" i="4"/>
  <c r="M41" i="4" s="1"/>
  <c r="M74" i="4" s="1"/>
  <c r="L26" i="4"/>
  <c r="L41" i="4" s="1"/>
  <c r="L74" i="4" s="1"/>
  <c r="K26" i="4"/>
  <c r="K41" i="4" s="1"/>
  <c r="K74" i="4" s="1"/>
  <c r="J26" i="4"/>
  <c r="J41" i="4" s="1"/>
  <c r="J74" i="4" s="1"/>
  <c r="I26" i="4"/>
  <c r="I41" i="4" s="1"/>
  <c r="I74" i="4" s="1"/>
  <c r="H26" i="4"/>
  <c r="H41" i="4" s="1"/>
  <c r="H74" i="4" s="1"/>
  <c r="G26" i="4"/>
  <c r="G41" i="4" s="1"/>
  <c r="G74" i="4" s="1"/>
  <c r="F26" i="4"/>
  <c r="F41" i="4" s="1"/>
  <c r="F74" i="4" s="1"/>
  <c r="E26" i="4"/>
  <c r="E41" i="4" s="1"/>
  <c r="E74" i="4" s="1"/>
  <c r="D26" i="4"/>
  <c r="D41" i="4" s="1"/>
  <c r="D74" i="4" s="1"/>
  <c r="C26" i="4"/>
  <c r="C41" i="4" s="1"/>
  <c r="C74" i="4" s="1"/>
  <c r="B26" i="4"/>
  <c r="B41" i="4" s="1"/>
  <c r="B74" i="4" s="1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C73" i="3"/>
  <c r="B73" i="3"/>
  <c r="E69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U36" i="3"/>
  <c r="U50" i="3" s="1"/>
  <c r="T36" i="3"/>
  <c r="T50" i="3" s="1"/>
  <c r="T83" i="3" s="1"/>
  <c r="S36" i="3"/>
  <c r="S50" i="3" s="1"/>
  <c r="R36" i="3"/>
  <c r="R50" i="3" s="1"/>
  <c r="R83" i="3" s="1"/>
  <c r="Q36" i="3"/>
  <c r="Q50" i="3" s="1"/>
  <c r="Q83" i="3" s="1"/>
  <c r="P36" i="3"/>
  <c r="P50" i="3" s="1"/>
  <c r="P83" i="3" s="1"/>
  <c r="O36" i="3"/>
  <c r="O50" i="3" s="1"/>
  <c r="N36" i="3"/>
  <c r="N50" i="3" s="1"/>
  <c r="N83" i="3" s="1"/>
  <c r="M36" i="3"/>
  <c r="M50" i="3" s="1"/>
  <c r="M83" i="3" s="1"/>
  <c r="L36" i="3"/>
  <c r="L50" i="3" s="1"/>
  <c r="L83" i="3" s="1"/>
  <c r="K36" i="3"/>
  <c r="K50" i="3" s="1"/>
  <c r="J36" i="3"/>
  <c r="J50" i="3" s="1"/>
  <c r="J83" i="3" s="1"/>
  <c r="I36" i="3"/>
  <c r="I50" i="3" s="1"/>
  <c r="I83" i="3" s="1"/>
  <c r="H36" i="3"/>
  <c r="H50" i="3" s="1"/>
  <c r="H83" i="3" s="1"/>
  <c r="G36" i="3"/>
  <c r="G50" i="3" s="1"/>
  <c r="F36" i="3"/>
  <c r="F50" i="3" s="1"/>
  <c r="F83" i="3" s="1"/>
  <c r="E36" i="3"/>
  <c r="E50" i="3" s="1"/>
  <c r="E83" i="3" s="1"/>
  <c r="D36" i="3"/>
  <c r="D50" i="3" s="1"/>
  <c r="D83" i="3" s="1"/>
  <c r="C36" i="3"/>
  <c r="C50" i="3" s="1"/>
  <c r="B36" i="3"/>
  <c r="B50" i="3" s="1"/>
  <c r="B83" i="3" s="1"/>
  <c r="U35" i="3"/>
  <c r="U49" i="3" s="1"/>
  <c r="U82" i="3" s="1"/>
  <c r="T35" i="3"/>
  <c r="T49" i="3" s="1"/>
  <c r="T82" i="3" s="1"/>
  <c r="S35" i="3"/>
  <c r="S49" i="3" s="1"/>
  <c r="R35" i="3"/>
  <c r="R49" i="3" s="1"/>
  <c r="R82" i="3" s="1"/>
  <c r="Q35" i="3"/>
  <c r="Q49" i="3" s="1"/>
  <c r="Q82" i="3" s="1"/>
  <c r="P35" i="3"/>
  <c r="P49" i="3" s="1"/>
  <c r="P82" i="3" s="1"/>
  <c r="O35" i="3"/>
  <c r="O49" i="3" s="1"/>
  <c r="O82" i="3" s="1"/>
  <c r="N35" i="3"/>
  <c r="N49" i="3" s="1"/>
  <c r="N82" i="3" s="1"/>
  <c r="M35" i="3"/>
  <c r="M49" i="3" s="1"/>
  <c r="M82" i="3" s="1"/>
  <c r="L35" i="3"/>
  <c r="L49" i="3" s="1"/>
  <c r="L82" i="3" s="1"/>
  <c r="K35" i="3"/>
  <c r="K49" i="3" s="1"/>
  <c r="K82" i="3" s="1"/>
  <c r="J35" i="3"/>
  <c r="J49" i="3" s="1"/>
  <c r="J82" i="3" s="1"/>
  <c r="I35" i="3"/>
  <c r="I49" i="3" s="1"/>
  <c r="I82" i="3" s="1"/>
  <c r="H35" i="3"/>
  <c r="H49" i="3" s="1"/>
  <c r="H82" i="3" s="1"/>
  <c r="G35" i="3"/>
  <c r="G49" i="3" s="1"/>
  <c r="G82" i="3" s="1"/>
  <c r="F35" i="3"/>
  <c r="F49" i="3" s="1"/>
  <c r="F82" i="3" s="1"/>
  <c r="E35" i="3"/>
  <c r="E49" i="3" s="1"/>
  <c r="E82" i="3" s="1"/>
  <c r="D35" i="3"/>
  <c r="D49" i="3" s="1"/>
  <c r="D82" i="3" s="1"/>
  <c r="C35" i="3"/>
  <c r="C49" i="3" s="1"/>
  <c r="C82" i="3" s="1"/>
  <c r="B35" i="3"/>
  <c r="B49" i="3" s="1"/>
  <c r="B82" i="3" s="1"/>
  <c r="U34" i="3"/>
  <c r="U48" i="3" s="1"/>
  <c r="U81" i="3" s="1"/>
  <c r="T34" i="3"/>
  <c r="T48" i="3" s="1"/>
  <c r="T81" i="3" s="1"/>
  <c r="S34" i="3"/>
  <c r="S48" i="3" s="1"/>
  <c r="S81" i="3" s="1"/>
  <c r="R34" i="3"/>
  <c r="R48" i="3" s="1"/>
  <c r="R81" i="3" s="1"/>
  <c r="Q34" i="3"/>
  <c r="Q48" i="3" s="1"/>
  <c r="Q81" i="3" s="1"/>
  <c r="P34" i="3"/>
  <c r="P48" i="3" s="1"/>
  <c r="P81" i="3" s="1"/>
  <c r="O34" i="3"/>
  <c r="O48" i="3" s="1"/>
  <c r="O81" i="3" s="1"/>
  <c r="N34" i="3"/>
  <c r="N48" i="3" s="1"/>
  <c r="N81" i="3" s="1"/>
  <c r="M34" i="3"/>
  <c r="M48" i="3" s="1"/>
  <c r="M81" i="3" s="1"/>
  <c r="L34" i="3"/>
  <c r="L48" i="3" s="1"/>
  <c r="L81" i="3" s="1"/>
  <c r="K34" i="3"/>
  <c r="K48" i="3" s="1"/>
  <c r="K81" i="3" s="1"/>
  <c r="J34" i="3"/>
  <c r="J48" i="3" s="1"/>
  <c r="J81" i="3" s="1"/>
  <c r="I34" i="3"/>
  <c r="I48" i="3" s="1"/>
  <c r="I81" i="3" s="1"/>
  <c r="H34" i="3"/>
  <c r="H48" i="3" s="1"/>
  <c r="H81" i="3" s="1"/>
  <c r="G34" i="3"/>
  <c r="G48" i="3" s="1"/>
  <c r="G81" i="3" s="1"/>
  <c r="F34" i="3"/>
  <c r="F48" i="3" s="1"/>
  <c r="F81" i="3" s="1"/>
  <c r="E34" i="3"/>
  <c r="E48" i="3" s="1"/>
  <c r="E81" i="3" s="1"/>
  <c r="D34" i="3"/>
  <c r="D48" i="3" s="1"/>
  <c r="D81" i="3" s="1"/>
  <c r="C34" i="3"/>
  <c r="C48" i="3" s="1"/>
  <c r="C81" i="3" s="1"/>
  <c r="B34" i="3"/>
  <c r="B48" i="3" s="1"/>
  <c r="B81" i="3" s="1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U32" i="3"/>
  <c r="U47" i="3" s="1"/>
  <c r="U80" i="3" s="1"/>
  <c r="T32" i="3"/>
  <c r="T47" i="3" s="1"/>
  <c r="T80" i="3" s="1"/>
  <c r="S32" i="3"/>
  <c r="S47" i="3" s="1"/>
  <c r="S80" i="3" s="1"/>
  <c r="R32" i="3"/>
  <c r="R47" i="3" s="1"/>
  <c r="R80" i="3" s="1"/>
  <c r="Q32" i="3"/>
  <c r="Q47" i="3" s="1"/>
  <c r="Q80" i="3" s="1"/>
  <c r="P32" i="3"/>
  <c r="P47" i="3" s="1"/>
  <c r="P80" i="3" s="1"/>
  <c r="O32" i="3"/>
  <c r="O47" i="3" s="1"/>
  <c r="O80" i="3" s="1"/>
  <c r="N32" i="3"/>
  <c r="N47" i="3" s="1"/>
  <c r="N80" i="3" s="1"/>
  <c r="M32" i="3"/>
  <c r="M47" i="3" s="1"/>
  <c r="M80" i="3" s="1"/>
  <c r="L32" i="3"/>
  <c r="L47" i="3" s="1"/>
  <c r="L80" i="3" s="1"/>
  <c r="K32" i="3"/>
  <c r="K47" i="3" s="1"/>
  <c r="K80" i="3" s="1"/>
  <c r="J32" i="3"/>
  <c r="J47" i="3" s="1"/>
  <c r="J80" i="3" s="1"/>
  <c r="I32" i="3"/>
  <c r="I47" i="3" s="1"/>
  <c r="I80" i="3" s="1"/>
  <c r="H32" i="3"/>
  <c r="H47" i="3" s="1"/>
  <c r="H80" i="3" s="1"/>
  <c r="G32" i="3"/>
  <c r="G47" i="3" s="1"/>
  <c r="G80" i="3" s="1"/>
  <c r="F32" i="3"/>
  <c r="F47" i="3" s="1"/>
  <c r="F80" i="3" s="1"/>
  <c r="E32" i="3"/>
  <c r="E47" i="3" s="1"/>
  <c r="E80" i="3" s="1"/>
  <c r="D32" i="3"/>
  <c r="D47" i="3" s="1"/>
  <c r="D80" i="3" s="1"/>
  <c r="C32" i="3"/>
  <c r="C47" i="3" s="1"/>
  <c r="C80" i="3" s="1"/>
  <c r="B32" i="3"/>
  <c r="B47" i="3" s="1"/>
  <c r="B80" i="3" s="1"/>
  <c r="U31" i="3"/>
  <c r="U46" i="3" s="1"/>
  <c r="U79" i="3" s="1"/>
  <c r="T31" i="3"/>
  <c r="T46" i="3" s="1"/>
  <c r="T79" i="3" s="1"/>
  <c r="S31" i="3"/>
  <c r="S46" i="3" s="1"/>
  <c r="S79" i="3" s="1"/>
  <c r="R31" i="3"/>
  <c r="R46" i="3" s="1"/>
  <c r="R79" i="3" s="1"/>
  <c r="Q31" i="3"/>
  <c r="Q46" i="3" s="1"/>
  <c r="Q79" i="3" s="1"/>
  <c r="P31" i="3"/>
  <c r="P46" i="3" s="1"/>
  <c r="P79" i="3" s="1"/>
  <c r="O31" i="3"/>
  <c r="O46" i="3" s="1"/>
  <c r="O79" i="3" s="1"/>
  <c r="N31" i="3"/>
  <c r="N46" i="3" s="1"/>
  <c r="N79" i="3" s="1"/>
  <c r="M31" i="3"/>
  <c r="M46" i="3" s="1"/>
  <c r="M79" i="3" s="1"/>
  <c r="L31" i="3"/>
  <c r="L46" i="3" s="1"/>
  <c r="L79" i="3" s="1"/>
  <c r="K31" i="3"/>
  <c r="K46" i="3" s="1"/>
  <c r="K79" i="3" s="1"/>
  <c r="J31" i="3"/>
  <c r="J46" i="3" s="1"/>
  <c r="J79" i="3" s="1"/>
  <c r="I31" i="3"/>
  <c r="I46" i="3" s="1"/>
  <c r="I79" i="3" s="1"/>
  <c r="H31" i="3"/>
  <c r="H46" i="3" s="1"/>
  <c r="H79" i="3" s="1"/>
  <c r="G31" i="3"/>
  <c r="G46" i="3" s="1"/>
  <c r="G79" i="3" s="1"/>
  <c r="F31" i="3"/>
  <c r="F46" i="3" s="1"/>
  <c r="F79" i="3" s="1"/>
  <c r="E31" i="3"/>
  <c r="E46" i="3" s="1"/>
  <c r="E79" i="3" s="1"/>
  <c r="D31" i="3"/>
  <c r="D46" i="3" s="1"/>
  <c r="D79" i="3" s="1"/>
  <c r="C31" i="3"/>
  <c r="C46" i="3" s="1"/>
  <c r="C79" i="3" s="1"/>
  <c r="B31" i="3"/>
  <c r="B46" i="3" s="1"/>
  <c r="B79" i="3" s="1"/>
  <c r="U30" i="3"/>
  <c r="U45" i="3" s="1"/>
  <c r="U78" i="3" s="1"/>
  <c r="T30" i="3"/>
  <c r="T45" i="3" s="1"/>
  <c r="T78" i="3" s="1"/>
  <c r="S30" i="3"/>
  <c r="S45" i="3" s="1"/>
  <c r="S78" i="3" s="1"/>
  <c r="R30" i="3"/>
  <c r="R45" i="3" s="1"/>
  <c r="R78" i="3" s="1"/>
  <c r="Q30" i="3"/>
  <c r="Q45" i="3" s="1"/>
  <c r="Q78" i="3" s="1"/>
  <c r="P30" i="3"/>
  <c r="P45" i="3" s="1"/>
  <c r="P78" i="3" s="1"/>
  <c r="O30" i="3"/>
  <c r="O45" i="3" s="1"/>
  <c r="O78" i="3" s="1"/>
  <c r="N30" i="3"/>
  <c r="N45" i="3" s="1"/>
  <c r="N78" i="3" s="1"/>
  <c r="M30" i="3"/>
  <c r="M45" i="3" s="1"/>
  <c r="M78" i="3" s="1"/>
  <c r="L30" i="3"/>
  <c r="L45" i="3" s="1"/>
  <c r="L78" i="3" s="1"/>
  <c r="K30" i="3"/>
  <c r="K45" i="3" s="1"/>
  <c r="K78" i="3" s="1"/>
  <c r="J30" i="3"/>
  <c r="J45" i="3" s="1"/>
  <c r="J78" i="3" s="1"/>
  <c r="I30" i="3"/>
  <c r="I45" i="3" s="1"/>
  <c r="I78" i="3" s="1"/>
  <c r="H30" i="3"/>
  <c r="H45" i="3" s="1"/>
  <c r="H78" i="3" s="1"/>
  <c r="G30" i="3"/>
  <c r="G45" i="3" s="1"/>
  <c r="G78" i="3" s="1"/>
  <c r="F30" i="3"/>
  <c r="F45" i="3" s="1"/>
  <c r="F78" i="3" s="1"/>
  <c r="E30" i="3"/>
  <c r="E45" i="3" s="1"/>
  <c r="E78" i="3" s="1"/>
  <c r="D30" i="3"/>
  <c r="D45" i="3" s="1"/>
  <c r="D78" i="3" s="1"/>
  <c r="C30" i="3"/>
  <c r="C45" i="3" s="1"/>
  <c r="C78" i="3" s="1"/>
  <c r="B30" i="3"/>
  <c r="B45" i="3" s="1"/>
  <c r="B78" i="3" s="1"/>
  <c r="U29" i="3"/>
  <c r="U44" i="3" s="1"/>
  <c r="U77" i="3" s="1"/>
  <c r="T29" i="3"/>
  <c r="T44" i="3" s="1"/>
  <c r="T77" i="3" s="1"/>
  <c r="S29" i="3"/>
  <c r="S44" i="3" s="1"/>
  <c r="S77" i="3" s="1"/>
  <c r="R29" i="3"/>
  <c r="R44" i="3" s="1"/>
  <c r="R77" i="3" s="1"/>
  <c r="Q29" i="3"/>
  <c r="Q44" i="3" s="1"/>
  <c r="Q77" i="3" s="1"/>
  <c r="P29" i="3"/>
  <c r="P44" i="3" s="1"/>
  <c r="P77" i="3" s="1"/>
  <c r="O29" i="3"/>
  <c r="O44" i="3" s="1"/>
  <c r="O77" i="3" s="1"/>
  <c r="N29" i="3"/>
  <c r="N44" i="3" s="1"/>
  <c r="N77" i="3" s="1"/>
  <c r="M29" i="3"/>
  <c r="M44" i="3" s="1"/>
  <c r="M77" i="3" s="1"/>
  <c r="L29" i="3"/>
  <c r="L44" i="3" s="1"/>
  <c r="L77" i="3" s="1"/>
  <c r="K29" i="3"/>
  <c r="K44" i="3" s="1"/>
  <c r="K77" i="3" s="1"/>
  <c r="J29" i="3"/>
  <c r="J44" i="3" s="1"/>
  <c r="J77" i="3" s="1"/>
  <c r="I29" i="3"/>
  <c r="I44" i="3" s="1"/>
  <c r="I77" i="3" s="1"/>
  <c r="H29" i="3"/>
  <c r="H44" i="3" s="1"/>
  <c r="H77" i="3" s="1"/>
  <c r="G29" i="3"/>
  <c r="G44" i="3" s="1"/>
  <c r="G77" i="3" s="1"/>
  <c r="F29" i="3"/>
  <c r="F44" i="3" s="1"/>
  <c r="F77" i="3" s="1"/>
  <c r="E29" i="3"/>
  <c r="E44" i="3" s="1"/>
  <c r="E77" i="3" s="1"/>
  <c r="D29" i="3"/>
  <c r="D44" i="3" s="1"/>
  <c r="D77" i="3" s="1"/>
  <c r="C29" i="3"/>
  <c r="C44" i="3" s="1"/>
  <c r="C77" i="3" s="1"/>
  <c r="B29" i="3"/>
  <c r="B44" i="3" s="1"/>
  <c r="B77" i="3" s="1"/>
  <c r="U28" i="3"/>
  <c r="U43" i="3" s="1"/>
  <c r="U76" i="3" s="1"/>
  <c r="T28" i="3"/>
  <c r="T43" i="3" s="1"/>
  <c r="T76" i="3" s="1"/>
  <c r="S28" i="3"/>
  <c r="S43" i="3" s="1"/>
  <c r="S76" i="3" s="1"/>
  <c r="R28" i="3"/>
  <c r="R43" i="3" s="1"/>
  <c r="R76" i="3" s="1"/>
  <c r="Q28" i="3"/>
  <c r="Q43" i="3" s="1"/>
  <c r="Q76" i="3" s="1"/>
  <c r="P28" i="3"/>
  <c r="P43" i="3" s="1"/>
  <c r="P76" i="3" s="1"/>
  <c r="O28" i="3"/>
  <c r="O43" i="3" s="1"/>
  <c r="O76" i="3" s="1"/>
  <c r="N28" i="3"/>
  <c r="N43" i="3" s="1"/>
  <c r="N76" i="3" s="1"/>
  <c r="M28" i="3"/>
  <c r="M43" i="3" s="1"/>
  <c r="M76" i="3" s="1"/>
  <c r="L28" i="3"/>
  <c r="L43" i="3" s="1"/>
  <c r="L76" i="3" s="1"/>
  <c r="K28" i="3"/>
  <c r="K43" i="3" s="1"/>
  <c r="K76" i="3" s="1"/>
  <c r="J28" i="3"/>
  <c r="J43" i="3" s="1"/>
  <c r="J76" i="3" s="1"/>
  <c r="I28" i="3"/>
  <c r="I43" i="3" s="1"/>
  <c r="I76" i="3" s="1"/>
  <c r="H28" i="3"/>
  <c r="H43" i="3" s="1"/>
  <c r="H76" i="3" s="1"/>
  <c r="G28" i="3"/>
  <c r="G43" i="3" s="1"/>
  <c r="G76" i="3" s="1"/>
  <c r="F28" i="3"/>
  <c r="F43" i="3" s="1"/>
  <c r="F76" i="3" s="1"/>
  <c r="E28" i="3"/>
  <c r="E43" i="3" s="1"/>
  <c r="E76" i="3" s="1"/>
  <c r="D28" i="3"/>
  <c r="D43" i="3" s="1"/>
  <c r="D76" i="3" s="1"/>
  <c r="C28" i="3"/>
  <c r="C43" i="3" s="1"/>
  <c r="C76" i="3" s="1"/>
  <c r="B28" i="3"/>
  <c r="B43" i="3" s="1"/>
  <c r="B76" i="3" s="1"/>
  <c r="U27" i="3"/>
  <c r="U42" i="3" s="1"/>
  <c r="U75" i="3" s="1"/>
  <c r="T27" i="3"/>
  <c r="T42" i="3" s="1"/>
  <c r="T75" i="3" s="1"/>
  <c r="S27" i="3"/>
  <c r="S42" i="3" s="1"/>
  <c r="S75" i="3" s="1"/>
  <c r="R27" i="3"/>
  <c r="R42" i="3" s="1"/>
  <c r="R75" i="3" s="1"/>
  <c r="Q27" i="3"/>
  <c r="Q42" i="3" s="1"/>
  <c r="Q75" i="3" s="1"/>
  <c r="P27" i="3"/>
  <c r="P42" i="3" s="1"/>
  <c r="P75" i="3" s="1"/>
  <c r="O27" i="3"/>
  <c r="O42" i="3" s="1"/>
  <c r="O75" i="3" s="1"/>
  <c r="N27" i="3"/>
  <c r="N42" i="3" s="1"/>
  <c r="N75" i="3" s="1"/>
  <c r="M27" i="3"/>
  <c r="M42" i="3" s="1"/>
  <c r="M75" i="3" s="1"/>
  <c r="L27" i="3"/>
  <c r="L42" i="3" s="1"/>
  <c r="L75" i="3" s="1"/>
  <c r="K27" i="3"/>
  <c r="K42" i="3" s="1"/>
  <c r="K75" i="3" s="1"/>
  <c r="J27" i="3"/>
  <c r="J42" i="3" s="1"/>
  <c r="J75" i="3" s="1"/>
  <c r="I27" i="3"/>
  <c r="I42" i="3" s="1"/>
  <c r="I75" i="3" s="1"/>
  <c r="H27" i="3"/>
  <c r="H42" i="3" s="1"/>
  <c r="H75" i="3" s="1"/>
  <c r="G27" i="3"/>
  <c r="G42" i="3" s="1"/>
  <c r="G75" i="3" s="1"/>
  <c r="F27" i="3"/>
  <c r="F42" i="3" s="1"/>
  <c r="F75" i="3" s="1"/>
  <c r="E27" i="3"/>
  <c r="E42" i="3" s="1"/>
  <c r="E75" i="3" s="1"/>
  <c r="D27" i="3"/>
  <c r="D42" i="3" s="1"/>
  <c r="D75" i="3" s="1"/>
  <c r="C27" i="3"/>
  <c r="C42" i="3" s="1"/>
  <c r="C75" i="3" s="1"/>
  <c r="B27" i="3"/>
  <c r="B42" i="3" s="1"/>
  <c r="B75" i="3" s="1"/>
  <c r="U26" i="3"/>
  <c r="U41" i="3" s="1"/>
  <c r="U74" i="3" s="1"/>
  <c r="T26" i="3"/>
  <c r="T41" i="3" s="1"/>
  <c r="T74" i="3" s="1"/>
  <c r="S26" i="3"/>
  <c r="S41" i="3" s="1"/>
  <c r="S74" i="3" s="1"/>
  <c r="R26" i="3"/>
  <c r="R41" i="3" s="1"/>
  <c r="R74" i="3" s="1"/>
  <c r="Q26" i="3"/>
  <c r="Q41" i="3" s="1"/>
  <c r="Q74" i="3" s="1"/>
  <c r="P26" i="3"/>
  <c r="P41" i="3" s="1"/>
  <c r="P74" i="3" s="1"/>
  <c r="O26" i="3"/>
  <c r="O41" i="3" s="1"/>
  <c r="O74" i="3" s="1"/>
  <c r="N26" i="3"/>
  <c r="N41" i="3" s="1"/>
  <c r="N74" i="3" s="1"/>
  <c r="M26" i="3"/>
  <c r="M41" i="3" s="1"/>
  <c r="M74" i="3" s="1"/>
  <c r="L26" i="3"/>
  <c r="L41" i="3" s="1"/>
  <c r="L74" i="3" s="1"/>
  <c r="K26" i="3"/>
  <c r="K41" i="3" s="1"/>
  <c r="K74" i="3" s="1"/>
  <c r="J26" i="3"/>
  <c r="J41" i="3" s="1"/>
  <c r="J74" i="3" s="1"/>
  <c r="I26" i="3"/>
  <c r="I41" i="3" s="1"/>
  <c r="I74" i="3" s="1"/>
  <c r="H26" i="3"/>
  <c r="H41" i="3" s="1"/>
  <c r="H74" i="3" s="1"/>
  <c r="G26" i="3"/>
  <c r="G41" i="3" s="1"/>
  <c r="G74" i="3" s="1"/>
  <c r="F26" i="3"/>
  <c r="F41" i="3" s="1"/>
  <c r="F74" i="3" s="1"/>
  <c r="E26" i="3"/>
  <c r="E41" i="3" s="1"/>
  <c r="E74" i="3" s="1"/>
  <c r="D26" i="3"/>
  <c r="D41" i="3" s="1"/>
  <c r="D74" i="3" s="1"/>
  <c r="C26" i="3"/>
  <c r="C41" i="3" s="1"/>
  <c r="C74" i="3" s="1"/>
  <c r="B26" i="3"/>
  <c r="B41" i="3" s="1"/>
  <c r="B74" i="3" s="1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M83" i="5" l="1"/>
  <c r="Q83" i="5"/>
  <c r="U83" i="5"/>
  <c r="I82" i="4"/>
  <c r="M82" i="4"/>
  <c r="Q82" i="4"/>
  <c r="U82" i="4"/>
  <c r="E83" i="4"/>
  <c r="I83" i="4"/>
  <c r="M83" i="4"/>
  <c r="Q83" i="4"/>
  <c r="U83" i="4"/>
  <c r="G82" i="4"/>
  <c r="K82" i="4"/>
  <c r="O82" i="4"/>
  <c r="S82" i="4"/>
  <c r="C83" i="4"/>
  <c r="G83" i="4"/>
  <c r="K83" i="4"/>
  <c r="O83" i="4"/>
  <c r="S83" i="4"/>
  <c r="U83" i="3"/>
  <c r="S82" i="3"/>
  <c r="D96" i="3" s="1"/>
  <c r="C83" i="3"/>
  <c r="G83" i="3"/>
  <c r="K83" i="3"/>
  <c r="O83" i="3"/>
  <c r="S83" i="3"/>
  <c r="G97" i="4"/>
  <c r="G96" i="4"/>
  <c r="G96" i="3"/>
  <c r="C95" i="5"/>
  <c r="C89" i="5"/>
  <c r="C96" i="4"/>
  <c r="C93" i="5"/>
  <c r="C97" i="5"/>
  <c r="C91" i="5"/>
  <c r="C96" i="3"/>
  <c r="E92" i="5"/>
  <c r="D92" i="5"/>
  <c r="E88" i="5"/>
  <c r="D88" i="5"/>
  <c r="E90" i="5"/>
  <c r="D90" i="5"/>
  <c r="E94" i="5"/>
  <c r="D94" i="5"/>
  <c r="C88" i="5"/>
  <c r="C90" i="5"/>
  <c r="B90" i="5"/>
  <c r="C92" i="5"/>
  <c r="B92" i="5"/>
  <c r="C94" i="5"/>
  <c r="B94" i="5"/>
  <c r="C96" i="5"/>
  <c r="B96" i="5"/>
  <c r="G88" i="5"/>
  <c r="F88" i="5"/>
  <c r="G91" i="5"/>
  <c r="F91" i="5"/>
  <c r="G95" i="5"/>
  <c r="F95" i="5"/>
  <c r="G97" i="5"/>
  <c r="F97" i="5"/>
  <c r="G96" i="5"/>
  <c r="F96" i="5"/>
  <c r="E96" i="5"/>
  <c r="D96" i="5"/>
  <c r="B95" i="5"/>
  <c r="I88" i="5"/>
  <c r="H88" i="5"/>
  <c r="I91" i="5"/>
  <c r="H91" i="5"/>
  <c r="E91" i="5"/>
  <c r="D91" i="5"/>
  <c r="E95" i="5"/>
  <c r="D95" i="5"/>
  <c r="B89" i="5"/>
  <c r="B93" i="5"/>
  <c r="B97" i="5"/>
  <c r="G89" i="5"/>
  <c r="F89" i="5"/>
  <c r="G90" i="5"/>
  <c r="F90" i="5"/>
  <c r="G92" i="5"/>
  <c r="F92" i="5"/>
  <c r="G93" i="5"/>
  <c r="F93" i="5"/>
  <c r="G94" i="5"/>
  <c r="F94" i="5"/>
  <c r="B91" i="5"/>
  <c r="I89" i="5"/>
  <c r="H89" i="5"/>
  <c r="I90" i="5"/>
  <c r="H90" i="5"/>
  <c r="I92" i="5"/>
  <c r="H92" i="5"/>
  <c r="I93" i="5"/>
  <c r="H93" i="5"/>
  <c r="I94" i="5"/>
  <c r="H94" i="5"/>
  <c r="I95" i="5"/>
  <c r="H95" i="5"/>
  <c r="E89" i="5"/>
  <c r="D89" i="5"/>
  <c r="E93" i="5"/>
  <c r="D93" i="5"/>
  <c r="E97" i="5"/>
  <c r="D97" i="5"/>
  <c r="I96" i="5"/>
  <c r="H96" i="5"/>
  <c r="I97" i="5"/>
  <c r="E88" i="4"/>
  <c r="D88" i="4"/>
  <c r="E89" i="4"/>
  <c r="D89" i="4"/>
  <c r="E90" i="4"/>
  <c r="D90" i="4"/>
  <c r="E91" i="4"/>
  <c r="D91" i="4"/>
  <c r="E92" i="4"/>
  <c r="D92" i="4"/>
  <c r="E93" i="4"/>
  <c r="D93" i="4"/>
  <c r="E94" i="4"/>
  <c r="D94" i="4"/>
  <c r="E95" i="4"/>
  <c r="D95" i="4"/>
  <c r="G88" i="4"/>
  <c r="F88" i="4"/>
  <c r="G89" i="4"/>
  <c r="F89" i="4"/>
  <c r="G90" i="4"/>
  <c r="F90" i="4"/>
  <c r="G91" i="4"/>
  <c r="F91" i="4"/>
  <c r="G92" i="4"/>
  <c r="F92" i="4"/>
  <c r="G93" i="4"/>
  <c r="F93" i="4"/>
  <c r="G94" i="4"/>
  <c r="F94" i="4"/>
  <c r="G95" i="4"/>
  <c r="F95" i="4"/>
  <c r="I88" i="4"/>
  <c r="H88" i="4"/>
  <c r="I89" i="4"/>
  <c r="H89" i="4"/>
  <c r="I90" i="4"/>
  <c r="H90" i="4"/>
  <c r="I91" i="4"/>
  <c r="H91" i="4"/>
  <c r="I92" i="4"/>
  <c r="H92" i="4"/>
  <c r="I93" i="4"/>
  <c r="H93" i="4"/>
  <c r="I94" i="4"/>
  <c r="H94" i="4"/>
  <c r="I95" i="4"/>
  <c r="H95" i="4"/>
  <c r="C88" i="4"/>
  <c r="B88" i="4"/>
  <c r="C89" i="4"/>
  <c r="B89" i="4"/>
  <c r="C90" i="4"/>
  <c r="B90" i="4"/>
  <c r="C91" i="4"/>
  <c r="B91" i="4"/>
  <c r="C92" i="4"/>
  <c r="B92" i="4"/>
  <c r="C93" i="4"/>
  <c r="B93" i="4"/>
  <c r="C94" i="4"/>
  <c r="B94" i="4"/>
  <c r="C95" i="4"/>
  <c r="B95" i="4"/>
  <c r="C97" i="4"/>
  <c r="B97" i="4"/>
  <c r="F97" i="4"/>
  <c r="B96" i="4"/>
  <c r="F96" i="4"/>
  <c r="C88" i="3"/>
  <c r="B88" i="3"/>
  <c r="B89" i="3"/>
  <c r="C89" i="3"/>
  <c r="B93" i="3"/>
  <c r="C93" i="3"/>
  <c r="C94" i="3"/>
  <c r="B94" i="3"/>
  <c r="C97" i="3"/>
  <c r="B97" i="3"/>
  <c r="E93" i="3"/>
  <c r="D93" i="3"/>
  <c r="E94" i="3"/>
  <c r="D94" i="3"/>
  <c r="E96" i="3"/>
  <c r="G88" i="3"/>
  <c r="F88" i="3"/>
  <c r="G89" i="3"/>
  <c r="F89" i="3"/>
  <c r="G90" i="3"/>
  <c r="F90" i="3"/>
  <c r="G91" i="3"/>
  <c r="F91" i="3"/>
  <c r="G92" i="3"/>
  <c r="F92" i="3"/>
  <c r="G93" i="3"/>
  <c r="F93" i="3"/>
  <c r="G94" i="3"/>
  <c r="F94" i="3"/>
  <c r="G95" i="3"/>
  <c r="F95" i="3"/>
  <c r="G97" i="3"/>
  <c r="F97" i="3"/>
  <c r="C90" i="3"/>
  <c r="B90" i="3"/>
  <c r="B91" i="3"/>
  <c r="C91" i="3"/>
  <c r="C92" i="3"/>
  <c r="B92" i="3"/>
  <c r="C95" i="3"/>
  <c r="B95" i="3"/>
  <c r="E88" i="3"/>
  <c r="D88" i="3"/>
  <c r="E89" i="3"/>
  <c r="D89" i="3"/>
  <c r="E90" i="3"/>
  <c r="D90" i="3"/>
  <c r="E91" i="3"/>
  <c r="D91" i="3"/>
  <c r="E92" i="3"/>
  <c r="D92" i="3"/>
  <c r="E95" i="3"/>
  <c r="D95" i="3"/>
  <c r="I88" i="3"/>
  <c r="H88" i="3"/>
  <c r="I89" i="3"/>
  <c r="H89" i="3"/>
  <c r="I90" i="3"/>
  <c r="H90" i="3"/>
  <c r="I91" i="3"/>
  <c r="H91" i="3"/>
  <c r="I92" i="3"/>
  <c r="H92" i="3"/>
  <c r="I93" i="3"/>
  <c r="H93" i="3"/>
  <c r="I94" i="3"/>
  <c r="H94" i="3"/>
  <c r="I95" i="3"/>
  <c r="H95" i="3"/>
  <c r="I97" i="3"/>
  <c r="H97" i="3"/>
  <c r="B96" i="3"/>
  <c r="F96" i="3"/>
  <c r="I96" i="3"/>
  <c r="H96" i="3"/>
  <c r="U84" i="4" l="1"/>
  <c r="U85" i="4" s="1"/>
  <c r="E97" i="3"/>
  <c r="E99" i="3" s="1"/>
  <c r="H97" i="5"/>
  <c r="D99" i="5"/>
  <c r="I97" i="4"/>
  <c r="D96" i="4"/>
  <c r="E96" i="4"/>
  <c r="I96" i="4"/>
  <c r="H96" i="4"/>
  <c r="H97" i="4"/>
  <c r="D97" i="3"/>
  <c r="D97" i="4"/>
  <c r="E97" i="4"/>
  <c r="F99" i="5"/>
  <c r="H99" i="5"/>
  <c r="B99" i="5"/>
  <c r="I99" i="5"/>
  <c r="G99" i="5"/>
  <c r="H99" i="4"/>
  <c r="E99" i="5"/>
  <c r="F99" i="4"/>
  <c r="G99" i="4"/>
  <c r="D99" i="4"/>
  <c r="C99" i="5"/>
  <c r="C99" i="4"/>
  <c r="B99" i="4"/>
  <c r="H99" i="3"/>
  <c r="I99" i="3"/>
  <c r="F99" i="3"/>
  <c r="G99" i="3"/>
  <c r="D99" i="3"/>
  <c r="B99" i="3"/>
  <c r="C99" i="3"/>
  <c r="I99" i="4" l="1"/>
  <c r="E99" i="4"/>
</calcChain>
</file>

<file path=xl/sharedStrings.xml><?xml version="1.0" encoding="utf-8"?>
<sst xmlns="http://schemas.openxmlformats.org/spreadsheetml/2006/main" count="1151" uniqueCount="84">
  <si>
    <t>Donor A</t>
  </si>
  <si>
    <t>Donor B</t>
  </si>
  <si>
    <t>Donor C</t>
  </si>
  <si>
    <t>Donor D</t>
  </si>
  <si>
    <t>Donor E</t>
  </si>
  <si>
    <t>0h</t>
  </si>
  <si>
    <t>12h</t>
  </si>
  <si>
    <t>24h</t>
  </si>
  <si>
    <t>48h</t>
  </si>
  <si>
    <t>Negative control</t>
  </si>
  <si>
    <t>Basal cellulose</t>
  </si>
  <si>
    <t>Average</t>
  </si>
  <si>
    <t xml:space="preserve">Concentração Substracto (g/L) = </t>
  </si>
  <si>
    <t>w =</t>
  </si>
  <si>
    <t>g crotonic acid</t>
  </si>
  <si>
    <t>Conc. Stock sol. PI =</t>
  </si>
  <si>
    <t>mM crotonic acid</t>
  </si>
  <si>
    <t>Final conc PI =</t>
  </si>
  <si>
    <t>mg/L crotonic acid</t>
  </si>
  <si>
    <t>A_0h</t>
  </si>
  <si>
    <t>A_12h</t>
  </si>
  <si>
    <t>A_24h</t>
  </si>
  <si>
    <t>A_48h</t>
  </si>
  <si>
    <t>B_0h</t>
  </si>
  <si>
    <t>B_12h</t>
  </si>
  <si>
    <t>B_24h</t>
  </si>
  <si>
    <t>B_48h</t>
  </si>
  <si>
    <t>C_0h</t>
  </si>
  <si>
    <t>C_12h</t>
  </si>
  <si>
    <t>C_24h</t>
  </si>
  <si>
    <t>C_48h</t>
  </si>
  <si>
    <t>D_0h</t>
  </si>
  <si>
    <t>D_12h</t>
  </si>
  <si>
    <t>D_24h</t>
  </si>
  <si>
    <t>D_48h</t>
  </si>
  <si>
    <t>E_0h</t>
  </si>
  <si>
    <t>E_12h</t>
  </si>
  <si>
    <t>E_24h</t>
  </si>
  <si>
    <t>E_48h</t>
  </si>
  <si>
    <t xml:space="preserve">Lactic Acid </t>
  </si>
  <si>
    <t>Formic Acid</t>
  </si>
  <si>
    <t>Acetic Acid</t>
  </si>
  <si>
    <t>Propionic Acid</t>
  </si>
  <si>
    <t>Iso-Butyric Acid</t>
  </si>
  <si>
    <t xml:space="preserve">n-Butyric Acid </t>
  </si>
  <si>
    <t>Iso-Valeric Acid</t>
  </si>
  <si>
    <t>Crotonic Acid</t>
  </si>
  <si>
    <t>n-Valeric Acid</t>
  </si>
  <si>
    <t>Iso-Caproic Acid</t>
  </si>
  <si>
    <t>n-Caproic Acid</t>
  </si>
  <si>
    <t>Área Ácido / Área PI</t>
  </si>
  <si>
    <t>Concentração Ácido / Concentração PI</t>
  </si>
  <si>
    <t>AA/AIS  =</t>
  </si>
  <si>
    <t>* [A]/[IS] +</t>
  </si>
  <si>
    <t>g/L crotonic acid</t>
  </si>
  <si>
    <t>Concentração Ácido (g/L)</t>
  </si>
  <si>
    <t xml:space="preserve"> 0h</t>
  </si>
  <si>
    <t>Média</t>
  </si>
  <si>
    <t>SD</t>
  </si>
  <si>
    <t>TOTAL SCFAs</t>
  </si>
  <si>
    <t>Lactic acid</t>
  </si>
  <si>
    <t>FEED cellulose</t>
  </si>
  <si>
    <t>Formic acid</t>
  </si>
  <si>
    <t>Acetic acid</t>
  </si>
  <si>
    <t>Propionic acid</t>
  </si>
  <si>
    <t>Iso-butyric acid</t>
  </si>
  <si>
    <t>N-butyric acid</t>
  </si>
  <si>
    <t>Iso-valeric acid</t>
  </si>
  <si>
    <t>N-valeric acid</t>
  </si>
  <si>
    <t>Iso-caproic acid</t>
  </si>
  <si>
    <t>N-caproic acid</t>
  </si>
  <si>
    <t>Frutalose OFP</t>
  </si>
  <si>
    <t>Frutafit IQ</t>
  </si>
  <si>
    <t>x Dilution Factor</t>
  </si>
  <si>
    <t>Time</t>
  </si>
  <si>
    <t>Standard Deviation</t>
  </si>
  <si>
    <t>Mangaba pulp</t>
  </si>
  <si>
    <t>Mangaba extract</t>
  </si>
  <si>
    <t>Mangaba Pulp</t>
  </si>
  <si>
    <t>NC</t>
  </si>
  <si>
    <t>OFP</t>
  </si>
  <si>
    <t>IQ</t>
  </si>
  <si>
    <t>PM</t>
  </si>
  <si>
    <t>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</si>
</sst>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0000000"/>
    <numFmt numFmtId="166" formatCode="0.0000"/>
    <numFmt numFmtId="167" formatCode="0.0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4" xfId="0" applyNumberFormat="1" applyBorder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4" xfId="0" applyFont="1" applyBorder="1"/>
    <xf numFmtId="0" fontId="2" fillId="0" borderId="0" xfId="0" applyFont="1" applyAlignment="1">
      <alignment horizontal="right"/>
    </xf>
    <xf numFmtId="0" fontId="2" fillId="0" borderId="5" xfId="0" applyFont="1" applyBorder="1"/>
    <xf numFmtId="0" fontId="2" fillId="2" borderId="4" xfId="0" applyFont="1" applyFill="1" applyBorder="1"/>
    <xf numFmtId="0" fontId="2" fillId="2" borderId="0" xfId="0" applyFont="1" applyFill="1"/>
    <xf numFmtId="0" fontId="2" fillId="2" borderId="9" xfId="0" applyFont="1" applyFill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3" fillId="0" borderId="2" xfId="0" applyFont="1" applyBorder="1" applyAlignment="1">
      <alignment horizontal="center" vertical="center"/>
    </xf>
    <xf numFmtId="164" fontId="2" fillId="0" borderId="11" xfId="0" applyNumberFormat="1" applyFont="1" applyBorder="1"/>
    <xf numFmtId="164" fontId="2" fillId="0" borderId="9" xfId="0" applyNumberFormat="1" applyFont="1" applyBorder="1"/>
    <xf numFmtId="164" fontId="2" fillId="0" borderId="0" xfId="0" applyNumberFormat="1" applyFont="1"/>
    <xf numFmtId="164" fontId="2" fillId="0" borderId="5" xfId="0" applyNumberFormat="1" applyFont="1" applyBorder="1"/>
    <xf numFmtId="1" fontId="2" fillId="0" borderId="5" xfId="0" applyNumberFormat="1" applyFont="1" applyBorder="1"/>
    <xf numFmtId="1" fontId="2" fillId="0" borderId="0" xfId="0" applyNumberFormat="1" applyFont="1"/>
    <xf numFmtId="164" fontId="2" fillId="0" borderId="13" xfId="0" applyNumberFormat="1" applyFont="1" applyBorder="1"/>
    <xf numFmtId="165" fontId="2" fillId="0" borderId="10" xfId="0" applyNumberFormat="1" applyFont="1" applyBorder="1"/>
    <xf numFmtId="165" fontId="2" fillId="0" borderId="11" xfId="0" applyNumberFormat="1" applyFont="1" applyBorder="1"/>
    <xf numFmtId="165" fontId="2" fillId="0" borderId="8" xfId="0" applyNumberFormat="1" applyFont="1" applyBorder="1"/>
    <xf numFmtId="165" fontId="2" fillId="0" borderId="5" xfId="0" applyNumberFormat="1" applyFont="1" applyBorder="1"/>
    <xf numFmtId="165" fontId="2" fillId="0" borderId="0" xfId="0" applyNumberFormat="1" applyFont="1"/>
    <xf numFmtId="165" fontId="2" fillId="0" borderId="9" xfId="0" applyNumberFormat="1" applyFont="1" applyBorder="1"/>
    <xf numFmtId="165" fontId="2" fillId="0" borderId="13" xfId="0" applyNumberFormat="1" applyFont="1" applyBorder="1"/>
    <xf numFmtId="165" fontId="2" fillId="0" borderId="14" xfId="0" applyNumberFormat="1" applyFont="1" applyBorder="1"/>
    <xf numFmtId="165" fontId="2" fillId="0" borderId="15" xfId="0" applyNumberFormat="1" applyFont="1" applyBorder="1"/>
    <xf numFmtId="0" fontId="4" fillId="0" borderId="7" xfId="0" applyFont="1" applyBorder="1" applyAlignment="1">
      <alignment horizontal="right" vertical="center" wrapText="1"/>
    </xf>
    <xf numFmtId="166" fontId="5" fillId="0" borderId="7" xfId="0" applyNumberFormat="1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>
      <alignment horizontal="center" vertical="center"/>
    </xf>
    <xf numFmtId="166" fontId="5" fillId="0" borderId="0" xfId="0" applyNumberFormat="1" applyFont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right" vertical="center" wrapText="1"/>
    </xf>
    <xf numFmtId="166" fontId="5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right" vertical="center" wrapText="1"/>
    </xf>
    <xf numFmtId="166" fontId="5" fillId="0" borderId="12" xfId="0" applyNumberFormat="1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>
      <alignment horizontal="center" vertical="center"/>
    </xf>
    <xf numFmtId="166" fontId="5" fillId="0" borderId="5" xfId="0" applyNumberFormat="1" applyFont="1" applyBorder="1" applyAlignment="1" applyProtection="1">
      <alignment horizontal="center" vertical="center"/>
      <protection locked="0"/>
    </xf>
    <xf numFmtId="164" fontId="2" fillId="0" borderId="10" xfId="0" applyNumberFormat="1" applyFont="1" applyBorder="1"/>
    <xf numFmtId="164" fontId="2" fillId="0" borderId="8" xfId="0" applyNumberFormat="1" applyFont="1" applyBorder="1"/>
    <xf numFmtId="164" fontId="2" fillId="0" borderId="14" xfId="0" applyNumberFormat="1" applyFont="1" applyBorder="1"/>
    <xf numFmtId="164" fontId="2" fillId="0" borderId="15" xfId="0" applyNumberFormat="1" applyFont="1" applyBorder="1"/>
    <xf numFmtId="167" fontId="2" fillId="0" borderId="7" xfId="0" applyNumberFormat="1" applyFont="1" applyBorder="1"/>
    <xf numFmtId="167" fontId="2" fillId="0" borderId="4" xfId="0" applyNumberFormat="1" applyFont="1" applyBorder="1"/>
    <xf numFmtId="167" fontId="2" fillId="0" borderId="12" xfId="0" applyNumberFormat="1" applyFont="1" applyBorder="1"/>
    <xf numFmtId="0" fontId="1" fillId="0" borderId="1" xfId="0" applyFont="1" applyBorder="1"/>
    <xf numFmtId="2" fontId="1" fillId="0" borderId="1" xfId="0" applyNumberFormat="1" applyFont="1" applyBorder="1"/>
    <xf numFmtId="0" fontId="0" fillId="0" borderId="13" xfId="0" applyBorder="1"/>
    <xf numFmtId="0" fontId="0" fillId="2" borderId="0" xfId="0" applyFill="1"/>
    <xf numFmtId="0" fontId="0" fillId="0" borderId="10" xfId="0" applyBorder="1"/>
    <xf numFmtId="0" fontId="0" fillId="0" borderId="11" xfId="0" applyBorder="1"/>
    <xf numFmtId="0" fontId="0" fillId="0" borderId="8" xfId="0" applyBorder="1"/>
    <xf numFmtId="0" fontId="0" fillId="0" borderId="9" xfId="0" applyBorder="1"/>
    <xf numFmtId="0" fontId="0" fillId="3" borderId="5" xfId="0" applyFill="1" applyBorder="1"/>
    <xf numFmtId="0" fontId="0" fillId="3" borderId="0" xfId="0" applyFill="1"/>
    <xf numFmtId="0" fontId="0" fillId="3" borderId="9" xfId="0" applyFill="1" applyBorder="1"/>
    <xf numFmtId="0" fontId="0" fillId="0" borderId="14" xfId="0" applyBorder="1"/>
    <xf numFmtId="0" fontId="0" fillId="0" borderId="15" xfId="0" applyBorder="1"/>
    <xf numFmtId="0" fontId="2" fillId="3" borderId="0" xfId="0" applyFont="1" applyFill="1"/>
    <xf numFmtId="0" fontId="0" fillId="0" borderId="1" xfId="0" applyBorder="1"/>
    <xf numFmtId="166" fontId="0" fillId="0" borderId="7" xfId="0" applyNumberFormat="1" applyBorder="1"/>
    <xf numFmtId="166" fontId="0" fillId="0" borderId="8" xfId="0" applyNumberFormat="1" applyBorder="1"/>
    <xf numFmtId="166" fontId="0" fillId="0" borderId="4" xfId="0" applyNumberFormat="1" applyBorder="1"/>
    <xf numFmtId="166" fontId="0" fillId="0" borderId="9" xfId="0" applyNumberFormat="1" applyBorder="1"/>
    <xf numFmtId="166" fontId="0" fillId="0" borderId="12" xfId="0" applyNumberFormat="1" applyBorder="1"/>
    <xf numFmtId="166" fontId="0" fillId="0" borderId="15" xfId="0" applyNumberFormat="1" applyBorder="1"/>
    <xf numFmtId="2" fontId="0" fillId="0" borderId="5" xfId="0" applyNumberFormat="1" applyBorder="1"/>
    <xf numFmtId="2" fontId="0" fillId="0" borderId="0" xfId="0" applyNumberFormat="1"/>
    <xf numFmtId="0" fontId="0" fillId="4" borderId="0" xfId="0" applyFill="1"/>
    <xf numFmtId="167" fontId="0" fillId="0" borderId="0" xfId="0" applyNumberFormat="1"/>
    <xf numFmtId="0" fontId="0" fillId="0" borderId="7" xfId="0" applyBorder="1" applyAlignment="1">
      <alignment horizontal="center"/>
    </xf>
    <xf numFmtId="167" fontId="0" fillId="0" borderId="4" xfId="0" applyNumberFormat="1" applyBorder="1"/>
    <xf numFmtId="167" fontId="0" fillId="0" borderId="12" xfId="0" applyNumberFormat="1" applyBorder="1"/>
    <xf numFmtId="167" fontId="0" fillId="0" borderId="5" xfId="0" applyNumberFormat="1" applyBorder="1"/>
    <xf numFmtId="167" fontId="0" fillId="0" borderId="9" xfId="0" applyNumberFormat="1" applyBorder="1"/>
    <xf numFmtId="167" fontId="0" fillId="0" borderId="13" xfId="0" applyNumberFormat="1" applyBorder="1"/>
    <xf numFmtId="167" fontId="0" fillId="0" borderId="15" xfId="0" applyNumberFormat="1" applyBorder="1"/>
    <xf numFmtId="0" fontId="0" fillId="0" borderId="7" xfId="0" applyBorder="1"/>
    <xf numFmtId="0" fontId="0" fillId="0" borderId="12" xfId="0" applyBorder="1"/>
    <xf numFmtId="167" fontId="0" fillId="0" borderId="11" xfId="0" applyNumberFormat="1" applyBorder="1"/>
    <xf numFmtId="167" fontId="0" fillId="0" borderId="8" xfId="0" applyNumberFormat="1" applyBorder="1"/>
    <xf numFmtId="167" fontId="0" fillId="0" borderId="14" xfId="0" applyNumberFormat="1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67" fontId="0" fillId="0" borderId="7" xfId="0" applyNumberFormat="1" applyBorder="1"/>
    <xf numFmtId="2" fontId="0" fillId="0" borderId="0" xfId="0" applyNumberFormat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13" xfId="0" applyNumberFormat="1" applyBorder="1"/>
    <xf numFmtId="2" fontId="0" fillId="0" borderId="14" xfId="0" applyNumberFormat="1" applyBorder="1"/>
    <xf numFmtId="0" fontId="6" fillId="0" borderId="1" xfId="0" applyFon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2" xfId="0" applyNumberFormat="1" applyBorder="1"/>
    <xf numFmtId="0" fontId="0" fillId="0" borderId="6" xfId="0" applyBorder="1" applyAlignment="1">
      <alignment horizontal="center"/>
    </xf>
    <xf numFmtId="166" fontId="0" fillId="0" borderId="1" xfId="0" applyNumberFormat="1" applyBorder="1"/>
    <xf numFmtId="166" fontId="0" fillId="0" borderId="6" xfId="0" applyNumberFormat="1" applyBorder="1"/>
    <xf numFmtId="0" fontId="0" fillId="0" borderId="1" xfId="0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3300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438670166229223"/>
          <c:y val="5.0400916380297825E-2"/>
          <c:w val="0.76866776027996508"/>
          <c:h val="0.64704421347719931"/>
        </c:manualLayout>
      </c:layout>
      <c:scatterChart>
        <c:scatterStyle val="lineMarker"/>
        <c:varyColors val="0"/>
        <c:ser>
          <c:idx val="0"/>
          <c:order val="0"/>
          <c:tx>
            <c:strRef>
              <c:f>OD!$A$19</c:f>
              <c:strCache>
                <c:ptCount val="1"/>
                <c:pt idx="0">
                  <c:v>Negative control</c:v>
                </c:pt>
              </c:strCache>
            </c:strRef>
          </c:tx>
          <c:spPr>
            <a:ln w="254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OD!$G$19:$J$19</c:f>
                <c:numCache>
                  <c:formatCode>General</c:formatCode>
                  <c:ptCount val="4"/>
                  <c:pt idx="0">
                    <c:v>3.9843443626273137E-2</c:v>
                  </c:pt>
                  <c:pt idx="1">
                    <c:v>2.4799193535274298E-2</c:v>
                  </c:pt>
                  <c:pt idx="2">
                    <c:v>1.0158740079360237E-2</c:v>
                  </c:pt>
                  <c:pt idx="3">
                    <c:v>1.3141537200799618E-2</c:v>
                  </c:pt>
                </c:numCache>
              </c:numRef>
            </c:plus>
            <c:minus>
              <c:numRef>
                <c:f>OD!$G$19:$J$19</c:f>
                <c:numCache>
                  <c:formatCode>General</c:formatCode>
                  <c:ptCount val="4"/>
                  <c:pt idx="0">
                    <c:v>3.9843443626273137E-2</c:v>
                  </c:pt>
                  <c:pt idx="1">
                    <c:v>2.4799193535274298E-2</c:v>
                  </c:pt>
                  <c:pt idx="2">
                    <c:v>1.0158740079360237E-2</c:v>
                  </c:pt>
                  <c:pt idx="3">
                    <c:v>1.3141537200799618E-2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OD!$G$19</c:f>
                <c:numCache>
                  <c:formatCode>General</c:formatCode>
                  <c:ptCount val="1"/>
                  <c:pt idx="0">
                    <c:v>3.9843443626273137E-2</c:v>
                  </c:pt>
                </c:numCache>
              </c:numRef>
            </c:plus>
            <c:minus>
              <c:numRef>
                <c:f>OD!$G$19:$J$19</c:f>
                <c:numCache>
                  <c:formatCode>General</c:formatCode>
                  <c:ptCount val="4"/>
                  <c:pt idx="0">
                    <c:v>3.9843443626273137E-2</c:v>
                  </c:pt>
                  <c:pt idx="1">
                    <c:v>2.4799193535274298E-2</c:v>
                  </c:pt>
                  <c:pt idx="2">
                    <c:v>1.0158740079360237E-2</c:v>
                  </c:pt>
                  <c:pt idx="3">
                    <c:v>1.3141537200799618E-2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OD!$B$18:$E$18</c:f>
              <c:numCache>
                <c:formatCode>General</c:formatCode>
                <c:ptCount val="4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48</c:v>
                </c:pt>
              </c:numCache>
            </c:numRef>
          </c:xVal>
          <c:yVal>
            <c:numRef>
              <c:f>OD!$B$19:$E$19</c:f>
              <c:numCache>
                <c:formatCode>0.00</c:formatCode>
                <c:ptCount val="4"/>
                <c:pt idx="0">
                  <c:v>0.60899999999999999</c:v>
                </c:pt>
                <c:pt idx="1">
                  <c:v>1.1000000000000001</c:v>
                </c:pt>
                <c:pt idx="2">
                  <c:v>1.5020000000000002</c:v>
                </c:pt>
                <c:pt idx="3">
                  <c:v>1.552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2A-40EB-B3CB-8C3F66715698}"/>
            </c:ext>
          </c:extLst>
        </c:ser>
        <c:ser>
          <c:idx val="1"/>
          <c:order val="1"/>
          <c:tx>
            <c:strRef>
              <c:f>OD!$A$20</c:f>
              <c:strCache>
                <c:ptCount val="1"/>
                <c:pt idx="0">
                  <c:v>Frutafit IQ</c:v>
                </c:pt>
              </c:strCache>
            </c:strRef>
          </c:tx>
          <c:spPr>
            <a:ln w="254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0A2A-40EB-B3CB-8C3F66715698}"/>
              </c:ext>
            </c:extLst>
          </c:dPt>
          <c:errBars>
            <c:errDir val="y"/>
            <c:errBarType val="both"/>
            <c:errValType val="cust"/>
            <c:noEndCap val="0"/>
            <c:plus>
              <c:numRef>
                <c:f>OD!#REF!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plus>
            <c:minus>
              <c:numRef>
                <c:f>OD!#REF!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OD!$B$18:$E$18</c:f>
              <c:numCache>
                <c:formatCode>General</c:formatCode>
                <c:ptCount val="4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48</c:v>
                </c:pt>
              </c:numCache>
            </c:numRef>
          </c:xVal>
          <c:yVal>
            <c:numRef>
              <c:f>OD!$B$20:$E$20</c:f>
              <c:numCache>
                <c:formatCode>0.00</c:formatCode>
                <c:ptCount val="4"/>
                <c:pt idx="0">
                  <c:v>0.65040000000000009</c:v>
                </c:pt>
                <c:pt idx="1">
                  <c:v>2.7869999999999999</c:v>
                </c:pt>
                <c:pt idx="2">
                  <c:v>3.194</c:v>
                </c:pt>
                <c:pt idx="3">
                  <c:v>3.4539999999999997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A2A-40EB-B3CB-8C3F66715698}"/>
            </c:ext>
          </c:extLst>
        </c:ser>
        <c:ser>
          <c:idx val="2"/>
          <c:order val="2"/>
          <c:tx>
            <c:strRef>
              <c:f>OD!$A$21</c:f>
              <c:strCache>
                <c:ptCount val="1"/>
                <c:pt idx="0">
                  <c:v>Frutalose OFP</c:v>
                </c:pt>
              </c:strCache>
            </c:strRef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OD!$G$21:$J$21</c:f>
                <c:numCache>
                  <c:formatCode>General</c:formatCode>
                  <c:ptCount val="4"/>
                  <c:pt idx="0">
                    <c:v>3.6324922573902456E-2</c:v>
                  </c:pt>
                  <c:pt idx="1">
                    <c:v>6.1184148273879004E-2</c:v>
                  </c:pt>
                  <c:pt idx="2">
                    <c:v>2.3681216184985102E-2</c:v>
                  </c:pt>
                  <c:pt idx="3">
                    <c:v>4.2296571965113203E-2</c:v>
                  </c:pt>
                </c:numCache>
              </c:numRef>
            </c:plus>
            <c:minus>
              <c:numRef>
                <c:f>OD!$G$21:$J$21</c:f>
                <c:numCache>
                  <c:formatCode>General</c:formatCode>
                  <c:ptCount val="4"/>
                  <c:pt idx="0">
                    <c:v>3.6324922573902456E-2</c:v>
                  </c:pt>
                  <c:pt idx="1">
                    <c:v>6.1184148273879004E-2</c:v>
                  </c:pt>
                  <c:pt idx="2">
                    <c:v>2.3681216184985102E-2</c:v>
                  </c:pt>
                  <c:pt idx="3">
                    <c:v>4.2296571965113203E-2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OD!$B$18:$E$18</c:f>
              <c:numCache>
                <c:formatCode>General</c:formatCode>
                <c:ptCount val="4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48</c:v>
                </c:pt>
              </c:numCache>
            </c:numRef>
          </c:xVal>
          <c:yVal>
            <c:numRef>
              <c:f>OD!$B$21:$E$21</c:f>
              <c:numCache>
                <c:formatCode>0.00</c:formatCode>
                <c:ptCount val="4"/>
                <c:pt idx="0">
                  <c:v>0.56699999999999995</c:v>
                </c:pt>
                <c:pt idx="1">
                  <c:v>2.585</c:v>
                </c:pt>
                <c:pt idx="2">
                  <c:v>3.2759999999999998</c:v>
                </c:pt>
                <c:pt idx="3">
                  <c:v>3.7700000000000005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A2A-40EB-B3CB-8C3F66715698}"/>
            </c:ext>
          </c:extLst>
        </c:ser>
        <c:ser>
          <c:idx val="3"/>
          <c:order val="3"/>
          <c:tx>
            <c:strRef>
              <c:f>OD!$A$22</c:f>
              <c:strCache>
                <c:ptCount val="1"/>
                <c:pt idx="0">
                  <c:v>Mangaba pulp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OD!$G$22:$J$22</c:f>
                <c:numCache>
                  <c:formatCode>General</c:formatCode>
                  <c:ptCount val="4"/>
                  <c:pt idx="0">
                    <c:v>6.0763475871612196E-2</c:v>
                  </c:pt>
                  <c:pt idx="1">
                    <c:v>7.2029854921414338E-2</c:v>
                  </c:pt>
                  <c:pt idx="2">
                    <c:v>9.3886633766473965E-2</c:v>
                  </c:pt>
                  <c:pt idx="3">
                    <c:v>9.6068725400100322E-2</c:v>
                  </c:pt>
                </c:numCache>
              </c:numRef>
            </c:plus>
            <c:minus>
              <c:numRef>
                <c:f>OD!$G$22:$J$22</c:f>
                <c:numCache>
                  <c:formatCode>General</c:formatCode>
                  <c:ptCount val="4"/>
                  <c:pt idx="0">
                    <c:v>6.0763475871612196E-2</c:v>
                  </c:pt>
                  <c:pt idx="1">
                    <c:v>7.2029854921414338E-2</c:v>
                  </c:pt>
                  <c:pt idx="2">
                    <c:v>9.3886633766473965E-2</c:v>
                  </c:pt>
                  <c:pt idx="3">
                    <c:v>9.6068725400100322E-2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OD!$B$18:$E$18</c:f>
              <c:numCache>
                <c:formatCode>General</c:formatCode>
                <c:ptCount val="4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48</c:v>
                </c:pt>
              </c:numCache>
            </c:numRef>
          </c:xVal>
          <c:yVal>
            <c:numRef>
              <c:f>OD!$B$22:$E$22</c:f>
              <c:numCache>
                <c:formatCode>0.00</c:formatCode>
                <c:ptCount val="4"/>
                <c:pt idx="0">
                  <c:v>2.6375999999999999</c:v>
                </c:pt>
                <c:pt idx="1">
                  <c:v>3.8079999999999998</c:v>
                </c:pt>
                <c:pt idx="2">
                  <c:v>5.8420000000000005</c:v>
                </c:pt>
                <c:pt idx="3">
                  <c:v>5.5719999999999992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A2A-40EB-B3CB-8C3F66715698}"/>
            </c:ext>
          </c:extLst>
        </c:ser>
        <c:ser>
          <c:idx val="4"/>
          <c:order val="4"/>
          <c:tx>
            <c:strRef>
              <c:f>OD!$A$23</c:f>
              <c:strCache>
                <c:ptCount val="1"/>
                <c:pt idx="0">
                  <c:v>Mangaba extract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OD!$B$18:$E$18</c:f>
              <c:numCache>
                <c:formatCode>General</c:formatCode>
                <c:ptCount val="4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48</c:v>
                </c:pt>
              </c:numCache>
            </c:numRef>
          </c:xVal>
          <c:yVal>
            <c:numRef>
              <c:f>OD!$B$23:$E$23</c:f>
              <c:numCache>
                <c:formatCode>0.00</c:formatCode>
                <c:ptCount val="4"/>
                <c:pt idx="0">
                  <c:v>1.59</c:v>
                </c:pt>
                <c:pt idx="1">
                  <c:v>2.0390000000000001</c:v>
                </c:pt>
                <c:pt idx="2">
                  <c:v>3.8979999999999997</c:v>
                </c:pt>
                <c:pt idx="3">
                  <c:v>4.266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A2A-40EB-B3CB-8C3F66715698}"/>
            </c:ext>
          </c:extLst>
        </c:ser>
        <c:ser>
          <c:idx val="5"/>
          <c:order val="5"/>
          <c:tx>
            <c:v>Seeds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63300"/>
              </a:solidFill>
              <a:ln w="9525">
                <a:solidFill>
                  <a:srgbClr val="663300"/>
                </a:solidFill>
              </a:ln>
              <a:effectLst/>
            </c:spPr>
          </c:marker>
          <c:xVal>
            <c:numRef>
              <c:f>OD!$B$18:$E$18</c:f>
              <c:numCache>
                <c:formatCode>General</c:formatCode>
                <c:ptCount val="4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48</c:v>
                </c:pt>
              </c:numCache>
            </c:numRef>
          </c:xVal>
          <c:yVal>
            <c:numRef>
              <c:f>OD!#REF!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A2A-40EB-B3CB-8C3F66715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593696"/>
        <c:axId val="162610016"/>
      </c:scatterChart>
      <c:valAx>
        <c:axId val="162593696"/>
        <c:scaling>
          <c:orientation val="minMax"/>
          <c:max val="5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Time (h)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10016"/>
        <c:crosses val="autoZero"/>
        <c:crossBetween val="midCat"/>
        <c:majorUnit val="12"/>
      </c:valAx>
      <c:valAx>
        <c:axId val="162610016"/>
        <c:scaling>
          <c:orientation val="minMax"/>
          <c:max val="7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Optical</a:t>
                </a:r>
                <a:r>
                  <a:rPr lang="pt-PT" baseline="0"/>
                  <a:t> density (600 nm)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93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ayout>
        <c:manualLayout>
          <c:xMode val="edge"/>
          <c:yMode val="edge"/>
          <c:x val="0.16183223972003499"/>
          <c:y val="0.85727633302177442"/>
          <c:w val="0.72705664916885393"/>
          <c:h val="0.142723627231536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38670166229223"/>
          <c:y val="5.0400916380297825E-2"/>
          <c:w val="0.76866776027996508"/>
          <c:h val="0.64704421347719931"/>
        </c:manualLayout>
      </c:layout>
      <c:scatterChart>
        <c:scatterStyle val="lineMarker"/>
        <c:varyColors val="0"/>
        <c:ser>
          <c:idx val="0"/>
          <c:order val="0"/>
          <c:tx>
            <c:strRef>
              <c:f>pH!$A$11</c:f>
              <c:strCache>
                <c:ptCount val="1"/>
                <c:pt idx="0">
                  <c:v>Negative control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pH!$G$11:$J$11</c:f>
                <c:numCache>
                  <c:formatCode>General</c:formatCode>
                  <c:ptCount val="4"/>
                  <c:pt idx="0">
                    <c:v>1.3416407864998916E-2</c:v>
                  </c:pt>
                  <c:pt idx="1">
                    <c:v>0.12316655390161745</c:v>
                  </c:pt>
                  <c:pt idx="2">
                    <c:v>0.1420211251891772</c:v>
                  </c:pt>
                  <c:pt idx="3">
                    <c:v>7.9874902190863364E-2</c:v>
                  </c:pt>
                </c:numCache>
              </c:numRef>
            </c:plus>
            <c:minus>
              <c:numRef>
                <c:f>pH!$G$11:$J$11</c:f>
                <c:numCache>
                  <c:formatCode>General</c:formatCode>
                  <c:ptCount val="4"/>
                  <c:pt idx="0">
                    <c:v>1.3416407864998916E-2</c:v>
                  </c:pt>
                  <c:pt idx="1">
                    <c:v>0.12316655390161745</c:v>
                  </c:pt>
                  <c:pt idx="2">
                    <c:v>0.1420211251891772</c:v>
                  </c:pt>
                  <c:pt idx="3">
                    <c:v>7.9874902190863364E-2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pH!$B$10:$E$10</c:f>
              <c:numCache>
                <c:formatCode>General</c:formatCode>
                <c:ptCount val="4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48</c:v>
                </c:pt>
              </c:numCache>
            </c:numRef>
          </c:xVal>
          <c:yVal>
            <c:numRef>
              <c:f>pH!$B$11:$E$11</c:f>
              <c:numCache>
                <c:formatCode>0.000</c:formatCode>
                <c:ptCount val="4"/>
                <c:pt idx="0">
                  <c:v>6.3459999999999992</c:v>
                </c:pt>
                <c:pt idx="1">
                  <c:v>6.548</c:v>
                </c:pt>
                <c:pt idx="2">
                  <c:v>6.5780000000000003</c:v>
                </c:pt>
                <c:pt idx="3">
                  <c:v>6.8839999999999986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165-4957-B247-6EAA03CDB7A4}"/>
            </c:ext>
          </c:extLst>
        </c:ser>
        <c:ser>
          <c:idx val="1"/>
          <c:order val="1"/>
          <c:tx>
            <c:strRef>
              <c:f>pH!$A$12</c:f>
              <c:strCache>
                <c:ptCount val="1"/>
                <c:pt idx="0">
                  <c:v>Frutafit IQ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gradFill rotWithShape="1">
                  <a:gsLst>
                    <a:gs pos="0">
                      <a:schemeClr val="accent2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2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2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2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8165-4957-B247-6EAA03CDB7A4}"/>
              </c:ext>
            </c:extLst>
          </c:dPt>
          <c:errBars>
            <c:errDir val="y"/>
            <c:errBarType val="both"/>
            <c:errValType val="cust"/>
            <c:noEndCap val="0"/>
            <c:plus>
              <c:numRef>
                <c:f>pH!$G$12:$J$12</c:f>
                <c:numCache>
                  <c:formatCode>General</c:formatCode>
                  <c:ptCount val="4"/>
                  <c:pt idx="0">
                    <c:v>3.00000000000001E-2</c:v>
                  </c:pt>
                  <c:pt idx="1">
                    <c:v>0.42982554600674916</c:v>
                  </c:pt>
                  <c:pt idx="2">
                    <c:v>0.36853765072241945</c:v>
                  </c:pt>
                  <c:pt idx="3">
                    <c:v>0.33916072885875209</c:v>
                  </c:pt>
                </c:numCache>
              </c:numRef>
            </c:plus>
            <c:minus>
              <c:numRef>
                <c:f>pH!$G$12:$J$12</c:f>
                <c:numCache>
                  <c:formatCode>General</c:formatCode>
                  <c:ptCount val="4"/>
                  <c:pt idx="0">
                    <c:v>3.00000000000001E-2</c:v>
                  </c:pt>
                  <c:pt idx="1">
                    <c:v>0.42982554600674916</c:v>
                  </c:pt>
                  <c:pt idx="2">
                    <c:v>0.36853765072241945</c:v>
                  </c:pt>
                  <c:pt idx="3">
                    <c:v>0.33916072885875209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pH!$B$10:$E$10</c:f>
              <c:numCache>
                <c:formatCode>General</c:formatCode>
                <c:ptCount val="4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48</c:v>
                </c:pt>
              </c:numCache>
            </c:numRef>
          </c:xVal>
          <c:yVal>
            <c:numRef>
              <c:f>pH!$B$12:$E$12</c:f>
              <c:numCache>
                <c:formatCode>0.000</c:formatCode>
                <c:ptCount val="4"/>
                <c:pt idx="0">
                  <c:v>6.32</c:v>
                </c:pt>
                <c:pt idx="1">
                  <c:v>4.3800000000000008</c:v>
                </c:pt>
                <c:pt idx="2">
                  <c:v>4.0780000000000003</c:v>
                </c:pt>
                <c:pt idx="3">
                  <c:v>3.944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165-4957-B247-6EAA03CDB7A4}"/>
            </c:ext>
          </c:extLst>
        </c:ser>
        <c:ser>
          <c:idx val="2"/>
          <c:order val="2"/>
          <c:tx>
            <c:strRef>
              <c:f>pH!$A$13</c:f>
              <c:strCache>
                <c:ptCount val="1"/>
                <c:pt idx="0">
                  <c:v>Frutalose OFP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pH!$G$13:$J$13</c:f>
                <c:numCache>
                  <c:formatCode>General</c:formatCode>
                  <c:ptCount val="4"/>
                  <c:pt idx="0">
                    <c:v>4.393176527297752E-2</c:v>
                  </c:pt>
                  <c:pt idx="1">
                    <c:v>0.38951251584512653</c:v>
                  </c:pt>
                  <c:pt idx="2">
                    <c:v>0.25723530084341056</c:v>
                  </c:pt>
                  <c:pt idx="3">
                    <c:v>0.14237275020171528</c:v>
                  </c:pt>
                </c:numCache>
              </c:numRef>
            </c:plus>
            <c:minus>
              <c:numRef>
                <c:f>pH!$G$13:$J$13</c:f>
                <c:numCache>
                  <c:formatCode>General</c:formatCode>
                  <c:ptCount val="4"/>
                  <c:pt idx="0">
                    <c:v>4.393176527297752E-2</c:v>
                  </c:pt>
                  <c:pt idx="1">
                    <c:v>0.38951251584512653</c:v>
                  </c:pt>
                  <c:pt idx="2">
                    <c:v>0.25723530084341056</c:v>
                  </c:pt>
                  <c:pt idx="3">
                    <c:v>0.14237275020171528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pH!$B$10:$E$10</c:f>
              <c:numCache>
                <c:formatCode>General</c:formatCode>
                <c:ptCount val="4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48</c:v>
                </c:pt>
              </c:numCache>
            </c:numRef>
          </c:xVal>
          <c:yVal>
            <c:numRef>
              <c:f>pH!$B$13:$E$13</c:f>
              <c:numCache>
                <c:formatCode>0.000</c:formatCode>
                <c:ptCount val="4"/>
                <c:pt idx="0">
                  <c:v>6.2859999999999996</c:v>
                </c:pt>
                <c:pt idx="1">
                  <c:v>4.3719999999999999</c:v>
                </c:pt>
                <c:pt idx="2">
                  <c:v>4.008</c:v>
                </c:pt>
                <c:pt idx="3">
                  <c:v>3.778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165-4957-B247-6EAA03CDB7A4}"/>
            </c:ext>
          </c:extLst>
        </c:ser>
        <c:ser>
          <c:idx val="3"/>
          <c:order val="3"/>
          <c:tx>
            <c:strRef>
              <c:f>pH!$A$14</c:f>
              <c:strCache>
                <c:ptCount val="1"/>
                <c:pt idx="0">
                  <c:v>Mangaba pulp</c:v>
                </c:pt>
              </c:strCache>
            </c:strRef>
          </c:tx>
          <c:spPr>
            <a:ln w="95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pH!$G$14:$J$14</c:f>
                <c:numCache>
                  <c:formatCode>General</c:formatCode>
                  <c:ptCount val="4"/>
                  <c:pt idx="0">
                    <c:v>0.48659017663738346</c:v>
                  </c:pt>
                  <c:pt idx="1">
                    <c:v>0.33682339586198567</c:v>
                  </c:pt>
                  <c:pt idx="2">
                    <c:v>0.18256505689753466</c:v>
                  </c:pt>
                  <c:pt idx="3">
                    <c:v>0.10848963084092411</c:v>
                  </c:pt>
                </c:numCache>
              </c:numRef>
            </c:plus>
            <c:minus>
              <c:numRef>
                <c:f>pH!$G$14:$J$14</c:f>
                <c:numCache>
                  <c:formatCode>General</c:formatCode>
                  <c:ptCount val="4"/>
                  <c:pt idx="0">
                    <c:v>0.48659017663738346</c:v>
                  </c:pt>
                  <c:pt idx="1">
                    <c:v>0.33682339586198567</c:v>
                  </c:pt>
                  <c:pt idx="2">
                    <c:v>0.18256505689753466</c:v>
                  </c:pt>
                  <c:pt idx="3">
                    <c:v>0.10848963084092411</c:v>
                  </c:pt>
                </c:numCache>
              </c:numRef>
            </c:minus>
            <c:spPr>
              <a:noFill/>
              <a:ln w="9525">
                <a:solidFill>
                  <a:schemeClr val="tx2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pH!$B$10:$E$10</c:f>
              <c:numCache>
                <c:formatCode>General</c:formatCode>
                <c:ptCount val="4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48</c:v>
                </c:pt>
              </c:numCache>
            </c:numRef>
          </c:xVal>
          <c:yVal>
            <c:numRef>
              <c:f>pH!$B$14:$E$14</c:f>
              <c:numCache>
                <c:formatCode>0.000</c:formatCode>
                <c:ptCount val="4"/>
                <c:pt idx="0">
                  <c:v>6.5019999999999998</c:v>
                </c:pt>
                <c:pt idx="1">
                  <c:v>4.6599999999999993</c:v>
                </c:pt>
                <c:pt idx="2">
                  <c:v>3.9060000000000001</c:v>
                </c:pt>
                <c:pt idx="3">
                  <c:v>3.7619999999999996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E8-471A-92D5-C03A5134C007}"/>
            </c:ext>
          </c:extLst>
        </c:ser>
        <c:ser>
          <c:idx val="4"/>
          <c:order val="4"/>
          <c:tx>
            <c:strRef>
              <c:f>pH!$A$15</c:f>
              <c:strCache>
                <c:ptCount val="1"/>
                <c:pt idx="0">
                  <c:v>Mangaba extract</c:v>
                </c:pt>
              </c:strCache>
            </c:strRef>
          </c:tx>
          <c:spPr>
            <a:ln w="952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pH!$B$10:$E$10</c:f>
              <c:numCache>
                <c:formatCode>General</c:formatCode>
                <c:ptCount val="4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48</c:v>
                </c:pt>
              </c:numCache>
            </c:numRef>
          </c:xVal>
          <c:yVal>
            <c:numRef>
              <c:f>pH!$B$15:$E$15</c:f>
              <c:numCache>
                <c:formatCode>0.000</c:formatCode>
                <c:ptCount val="4"/>
                <c:pt idx="0">
                  <c:v>6.226</c:v>
                </c:pt>
                <c:pt idx="1">
                  <c:v>4.6560000000000006</c:v>
                </c:pt>
                <c:pt idx="2">
                  <c:v>3.9259999999999997</c:v>
                </c:pt>
                <c:pt idx="3">
                  <c:v>3.6579999999999999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CA-4259-A2FB-95EE3001C992}"/>
            </c:ext>
          </c:extLst>
        </c:ser>
        <c:ser>
          <c:idx val="5"/>
          <c:order val="5"/>
          <c:tx>
            <c:strRef>
              <c:f>pH!#REF!</c:f>
              <c:strCache>
                <c:ptCount val="1"/>
                <c:pt idx="0">
                  <c:v>#REF!</c:v>
                </c:pt>
              </c:strCache>
            </c:strRef>
          </c:tx>
          <c:spPr>
            <a:ln w="95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pH!$B$10:$E$10</c:f>
              <c:numCache>
                <c:formatCode>General</c:formatCode>
                <c:ptCount val="4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48</c:v>
                </c:pt>
              </c:numCache>
            </c:numRef>
          </c:xVal>
          <c:yVal>
            <c:numRef>
              <c:f>pH!#REF!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9CA-4259-A2FB-95EE3001C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593696"/>
        <c:axId val="162610016"/>
      </c:scatterChart>
      <c:valAx>
        <c:axId val="162593696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Time (h)</a:t>
                </a:r>
              </a:p>
            </c:rich>
          </c:tx>
          <c:layout>
            <c:manualLayout>
              <c:xMode val="edge"/>
              <c:yMode val="edge"/>
              <c:x val="0.48479753808442183"/>
              <c:y val="0.783067173055019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10016"/>
        <c:crosses val="autoZero"/>
        <c:crossBetween val="midCat"/>
        <c:majorUnit val="12"/>
      </c:valAx>
      <c:valAx>
        <c:axId val="162610016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93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ayout>
        <c:manualLayout>
          <c:xMode val="edge"/>
          <c:yMode val="edge"/>
          <c:x val="0.19055047678679671"/>
          <c:y val="0.83882721702733931"/>
          <c:w val="0.62373304887576142"/>
          <c:h val="0.151758614797812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Lactic acid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Summary!$A$4</c:f>
              <c:strCache>
                <c:ptCount val="1"/>
                <c:pt idx="0">
                  <c:v>Negative control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(Summary!$C$4,Summary!$E$4,Summary!$G$4,Summary!$I$4)</c:f>
                <c:numCache>
                  <c:formatCode>General</c:formatCode>
                  <c:ptCount val="4"/>
                  <c:pt idx="0">
                    <c:v>1.0070067030249569E-2</c:v>
                  </c:pt>
                  <c:pt idx="1">
                    <c:v>1.7024933449047597E-2</c:v>
                  </c:pt>
                  <c:pt idx="2">
                    <c:v>2.7552651779902529E-2</c:v>
                  </c:pt>
                  <c:pt idx="3">
                    <c:v>5.1764347411896339E-2</c:v>
                  </c:pt>
                </c:numCache>
              </c:numRef>
            </c:plus>
            <c:minus>
              <c:numRef>
                <c:f>(Summary!$C$4,Summary!$E$4,Summary!$G$4,Summary!$I$4)</c:f>
                <c:numCache>
                  <c:formatCode>General</c:formatCode>
                  <c:ptCount val="4"/>
                  <c:pt idx="0">
                    <c:v>1.0070067030249569E-2</c:v>
                  </c:pt>
                  <c:pt idx="1">
                    <c:v>1.7024933449047597E-2</c:v>
                  </c:pt>
                  <c:pt idx="2">
                    <c:v>2.7552651779902529E-2</c:v>
                  </c:pt>
                  <c:pt idx="3">
                    <c:v>5.1764347411896339E-2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(Summary!$B$2,Summary!$D$2,Summary!$F$2,Summary!$H$2)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(Summary!$B$4,Summary!$D$4,Summary!$F$4,Summary!$H$4)</c:f>
              <c:numCache>
                <c:formatCode>0.0000</c:formatCode>
                <c:ptCount val="4"/>
                <c:pt idx="0">
                  <c:v>7.7539981859419085E-2</c:v>
                </c:pt>
                <c:pt idx="1">
                  <c:v>9.1963377783363637E-2</c:v>
                </c:pt>
                <c:pt idx="2">
                  <c:v>6.7231227768558693E-2</c:v>
                </c:pt>
                <c:pt idx="3">
                  <c:v>5.8014879783397331E-2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D5-4266-A22B-7EF130BA963C}"/>
            </c:ext>
          </c:extLst>
        </c:ser>
        <c:ser>
          <c:idx val="1"/>
          <c:order val="1"/>
          <c:tx>
            <c:strRef>
              <c:f>Summary!$A$5</c:f>
              <c:strCache>
                <c:ptCount val="1"/>
                <c:pt idx="0">
                  <c:v>Frutalose OFP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(Summary!$C$5,Summary!$E$5,Summary!$G$5,Summary!$I$5)</c:f>
                <c:numCache>
                  <c:formatCode>General</c:formatCode>
                  <c:ptCount val="4"/>
                  <c:pt idx="0">
                    <c:v>1.0070067030249569E-2</c:v>
                  </c:pt>
                  <c:pt idx="1">
                    <c:v>0.45126291051291556</c:v>
                  </c:pt>
                  <c:pt idx="2">
                    <c:v>0.95371974640406221</c:v>
                  </c:pt>
                  <c:pt idx="3">
                    <c:v>1.4931089114432148</c:v>
                  </c:pt>
                </c:numCache>
              </c:numRef>
            </c:plus>
            <c:minus>
              <c:numRef>
                <c:f>(Summary!$C$5,Summary!$E$5,Summary!$G$5,Summary!$I$5)</c:f>
                <c:numCache>
                  <c:formatCode>General</c:formatCode>
                  <c:ptCount val="4"/>
                  <c:pt idx="0">
                    <c:v>1.0070067030249569E-2</c:v>
                  </c:pt>
                  <c:pt idx="1">
                    <c:v>0.45126291051291556</c:v>
                  </c:pt>
                  <c:pt idx="2">
                    <c:v>0.95371974640406221</c:v>
                  </c:pt>
                  <c:pt idx="3">
                    <c:v>1.4931089114432148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(Summary!$B$2,Summary!$D$2,Summary!$F$2,Summary!$H$2)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(Summary!$B$5,Summary!$D$5,Summary!$F$5,Summary!$H$5)</c:f>
              <c:numCache>
                <c:formatCode>0.0000</c:formatCode>
                <c:ptCount val="4"/>
                <c:pt idx="0">
                  <c:v>7.7539981859419085E-2</c:v>
                </c:pt>
                <c:pt idx="1">
                  <c:v>1.2198723280253958</c:v>
                </c:pt>
                <c:pt idx="2">
                  <c:v>2.4170084002420422</c:v>
                </c:pt>
                <c:pt idx="3">
                  <c:v>2.8363824172302965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D5-4266-A22B-7EF130BA963C}"/>
            </c:ext>
          </c:extLst>
        </c:ser>
        <c:ser>
          <c:idx val="2"/>
          <c:order val="2"/>
          <c:tx>
            <c:strRef>
              <c:f>Summary!$A$6</c:f>
              <c:strCache>
                <c:ptCount val="1"/>
                <c:pt idx="0">
                  <c:v>Frutafit IQ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(Summary!$C$6,Summary!$E$6,Summary!$G$6,Summary!$I$6)</c:f>
                <c:numCache>
                  <c:formatCode>General</c:formatCode>
                  <c:ptCount val="4"/>
                  <c:pt idx="0">
                    <c:v>1.0070067030249569E-2</c:v>
                  </c:pt>
                  <c:pt idx="1">
                    <c:v>0.49860313629102904</c:v>
                  </c:pt>
                  <c:pt idx="2">
                    <c:v>1.1014012409192051</c:v>
                  </c:pt>
                  <c:pt idx="3">
                    <c:v>1.4813958017005238</c:v>
                  </c:pt>
                </c:numCache>
              </c:numRef>
            </c:plus>
            <c:minus>
              <c:numRef>
                <c:f>(Summary!$C$6,Summary!$E$6,Summary!$G$6,Summary!$I$6)</c:f>
                <c:numCache>
                  <c:formatCode>General</c:formatCode>
                  <c:ptCount val="4"/>
                  <c:pt idx="0">
                    <c:v>1.0070067030249569E-2</c:v>
                  </c:pt>
                  <c:pt idx="1">
                    <c:v>0.49860313629102904</c:v>
                  </c:pt>
                  <c:pt idx="2">
                    <c:v>1.1014012409192051</c:v>
                  </c:pt>
                  <c:pt idx="3">
                    <c:v>1.4813958017005238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(Summary!$B$6,Summary!$D$6,Summary!$F$6,Summary!$H$6)</c:f>
              <c:numCache>
                <c:formatCode>0.0000</c:formatCode>
                <c:ptCount val="4"/>
                <c:pt idx="0">
                  <c:v>7.7539981859419085E-2</c:v>
                </c:pt>
                <c:pt idx="1">
                  <c:v>1.1586689133621211</c:v>
                </c:pt>
                <c:pt idx="2">
                  <c:v>2.0318276860678832</c:v>
                </c:pt>
                <c:pt idx="3">
                  <c:v>2.9337772129212509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78-4844-963E-44D2D09539BE}"/>
            </c:ext>
          </c:extLst>
        </c:ser>
        <c:ser>
          <c:idx val="3"/>
          <c:order val="3"/>
          <c:tx>
            <c:strRef>
              <c:f>Summary!$A$7</c:f>
              <c:strCache>
                <c:ptCount val="1"/>
                <c:pt idx="0">
                  <c:v>Mangaba Pulp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(Summary!$C$7,Summary!$E$7,Summary!$G$7,Summary!$I$7)</c:f>
                <c:numCache>
                  <c:formatCode>General</c:formatCode>
                  <c:ptCount val="4"/>
                  <c:pt idx="0">
                    <c:v>1.0070067030249569E-2</c:v>
                  </c:pt>
                  <c:pt idx="1">
                    <c:v>0.53833984317834704</c:v>
                  </c:pt>
                  <c:pt idx="2">
                    <c:v>0.97618547296266045</c:v>
                  </c:pt>
                  <c:pt idx="3">
                    <c:v>1.4540283707436596</c:v>
                  </c:pt>
                </c:numCache>
              </c:numRef>
            </c:plus>
            <c:minus>
              <c:numRef>
                <c:f>(Summary!$C$7,Summary!$E$7,Summary!$G$7,Summary!$I$7)</c:f>
                <c:numCache>
                  <c:formatCode>General</c:formatCode>
                  <c:ptCount val="4"/>
                  <c:pt idx="0">
                    <c:v>1.0070067030249569E-2</c:v>
                  </c:pt>
                  <c:pt idx="1">
                    <c:v>0.53833984317834704</c:v>
                  </c:pt>
                  <c:pt idx="2">
                    <c:v>0.97618547296266045</c:v>
                  </c:pt>
                  <c:pt idx="3">
                    <c:v>1.4540283707436596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(Summary!$B$7,Summary!$D$7,Summary!$F$7,Summary!$H$7)</c:f>
              <c:numCache>
                <c:formatCode>0.0000</c:formatCode>
                <c:ptCount val="4"/>
                <c:pt idx="0">
                  <c:v>7.7539981859419085E-2</c:v>
                </c:pt>
                <c:pt idx="1">
                  <c:v>0.79777854752799549</c:v>
                </c:pt>
                <c:pt idx="2">
                  <c:v>3.304762090613965</c:v>
                </c:pt>
                <c:pt idx="3">
                  <c:v>4.6834685777323042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78-4844-963E-44D2D09539BE}"/>
            </c:ext>
          </c:extLst>
        </c:ser>
        <c:ser>
          <c:idx val="4"/>
          <c:order val="4"/>
          <c:tx>
            <c:strRef>
              <c:f>Summary!$A$8</c:f>
              <c:strCache>
                <c:ptCount val="1"/>
                <c:pt idx="0">
                  <c:v>Mangaba extract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(Summary!$C$8,Summary!$E$8,Summary!$G$8,Summary!$I$8)</c:f>
                <c:numCache>
                  <c:formatCode>General</c:formatCode>
                  <c:ptCount val="4"/>
                  <c:pt idx="0">
                    <c:v>1.0070067030249569E-2</c:v>
                  </c:pt>
                  <c:pt idx="1">
                    <c:v>0.35648627778021236</c:v>
                  </c:pt>
                  <c:pt idx="2">
                    <c:v>1.1128195276887636</c:v>
                  </c:pt>
                  <c:pt idx="3">
                    <c:v>1.1989593750078094</c:v>
                  </c:pt>
                </c:numCache>
              </c:numRef>
            </c:plus>
            <c:minus>
              <c:numRef>
                <c:f>(Summary!$C$8,Summary!$E$8,Summary!$G$8,Summary!$I$8)</c:f>
                <c:numCache>
                  <c:formatCode>General</c:formatCode>
                  <c:ptCount val="4"/>
                  <c:pt idx="0">
                    <c:v>1.0070067030249569E-2</c:v>
                  </c:pt>
                  <c:pt idx="1">
                    <c:v>0.35648627778021236</c:v>
                  </c:pt>
                  <c:pt idx="2">
                    <c:v>1.1128195276887636</c:v>
                  </c:pt>
                  <c:pt idx="3">
                    <c:v>1.1989593750078094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(Summary!$B$8,Summary!$D$8,Summary!$F$8,Summary!$H$8)</c:f>
              <c:numCache>
                <c:formatCode>0.0000</c:formatCode>
                <c:ptCount val="4"/>
                <c:pt idx="0">
                  <c:v>7.7539981859419085E-2</c:v>
                </c:pt>
                <c:pt idx="1">
                  <c:v>0.44643861600594781</c:v>
                </c:pt>
                <c:pt idx="2">
                  <c:v>2.7329133910630263</c:v>
                </c:pt>
                <c:pt idx="3">
                  <c:v>4.9312078204051852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78-4844-963E-44D2D0953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144592"/>
        <c:axId val="1329145072"/>
      </c:barChart>
      <c:catAx>
        <c:axId val="132914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5072"/>
        <c:crosses val="autoZero"/>
        <c:auto val="1"/>
        <c:lblAlgn val="ctr"/>
        <c:lblOffset val="100"/>
        <c:noMultiLvlLbl val="0"/>
      </c:catAx>
      <c:valAx>
        <c:axId val="1329145072"/>
        <c:scaling>
          <c:orientation val="minMax"/>
          <c:max val="6.5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4592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Formic acid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Summary!$A$4</c:f>
              <c:strCache>
                <c:ptCount val="1"/>
                <c:pt idx="0">
                  <c:v>Negative control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(Summary!$C$13,Summary!$E$13,Summary!$G$13,Summary!$I$13)</c:f>
                <c:numCache>
                  <c:formatCode>General</c:formatCode>
                  <c:ptCount val="4"/>
                  <c:pt idx="0">
                    <c:v>9.7690280340296982E-3</c:v>
                  </c:pt>
                  <c:pt idx="1">
                    <c:v>2.641408056679552E-2</c:v>
                  </c:pt>
                  <c:pt idx="2">
                    <c:v>4.2028158533818617E-2</c:v>
                  </c:pt>
                  <c:pt idx="3">
                    <c:v>5.9098516274629712E-3</c:v>
                  </c:pt>
                </c:numCache>
              </c:numRef>
            </c:plus>
            <c:minus>
              <c:numRef>
                <c:f>(Summary!$C$13,Summary!$E$13,Summary!$G$13,Summary!$I$13)</c:f>
                <c:numCache>
                  <c:formatCode>General</c:formatCode>
                  <c:ptCount val="4"/>
                  <c:pt idx="0">
                    <c:v>9.7690280340296982E-3</c:v>
                  </c:pt>
                  <c:pt idx="1">
                    <c:v>2.641408056679552E-2</c:v>
                  </c:pt>
                  <c:pt idx="2">
                    <c:v>4.2028158533818617E-2</c:v>
                  </c:pt>
                  <c:pt idx="3">
                    <c:v>5.9098516274629712E-3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(Summary!$B$2,Summary!$D$2,Summary!$F$2,Summary!$H$2)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(Summary!$B$13,Summary!$D$13,Summary!$F$13,Summary!$H$13)</c:f>
              <c:numCache>
                <c:formatCode>0.0000</c:formatCode>
                <c:ptCount val="4"/>
                <c:pt idx="0">
                  <c:v>5.7875711210480338E-2</c:v>
                </c:pt>
                <c:pt idx="1">
                  <c:v>9.7153633863631295E-2</c:v>
                </c:pt>
                <c:pt idx="2">
                  <c:v>0.10256882239603818</c:v>
                </c:pt>
                <c:pt idx="3">
                  <c:v>5.1745803066665388E-2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3C-49AE-AE80-1A708964EEEA}"/>
            </c:ext>
          </c:extLst>
        </c:ser>
        <c:ser>
          <c:idx val="1"/>
          <c:order val="1"/>
          <c:tx>
            <c:strRef>
              <c:f>Summary!$A$5</c:f>
              <c:strCache>
                <c:ptCount val="1"/>
                <c:pt idx="0">
                  <c:v>Frutalose OFP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(Summary!$C$14,Summary!$E$14,Summary!$G$14,Summary!$I$14)</c:f>
                <c:numCache>
                  <c:formatCode>General</c:formatCode>
                  <c:ptCount val="4"/>
                  <c:pt idx="0">
                    <c:v>9.7690280340296982E-3</c:v>
                  </c:pt>
                  <c:pt idx="1">
                    <c:v>6.356464046710418E-2</c:v>
                  </c:pt>
                  <c:pt idx="2">
                    <c:v>6.0328652735249046E-2</c:v>
                  </c:pt>
                  <c:pt idx="3">
                    <c:v>1.2259258715483633E-2</c:v>
                  </c:pt>
                </c:numCache>
              </c:numRef>
            </c:plus>
            <c:minus>
              <c:numRef>
                <c:f>(Summary!$C$14,Summary!$E$14,Summary!$G$14,Summary!$I$14)</c:f>
                <c:numCache>
                  <c:formatCode>General</c:formatCode>
                  <c:ptCount val="4"/>
                  <c:pt idx="0">
                    <c:v>9.7690280340296982E-3</c:v>
                  </c:pt>
                  <c:pt idx="1">
                    <c:v>6.356464046710418E-2</c:v>
                  </c:pt>
                  <c:pt idx="2">
                    <c:v>6.0328652735249046E-2</c:v>
                  </c:pt>
                  <c:pt idx="3">
                    <c:v>1.2259258715483633E-2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(Summary!$B$2,Summary!$D$2,Summary!$F$2,Summary!$H$2)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(Summary!$B$14,Summary!$D$14,Summary!$F$14,Summary!$H$14)</c:f>
              <c:numCache>
                <c:formatCode>0.0000</c:formatCode>
                <c:ptCount val="4"/>
                <c:pt idx="0">
                  <c:v>5.7875711210480338E-2</c:v>
                </c:pt>
                <c:pt idx="1">
                  <c:v>0.1263444231532822</c:v>
                </c:pt>
                <c:pt idx="2">
                  <c:v>0.13976192472950194</c:v>
                </c:pt>
                <c:pt idx="3">
                  <c:v>0.16154292734565218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3C-49AE-AE80-1A708964EEEA}"/>
            </c:ext>
          </c:extLst>
        </c:ser>
        <c:ser>
          <c:idx val="2"/>
          <c:order val="2"/>
          <c:tx>
            <c:strRef>
              <c:f>Summary!$A$15</c:f>
              <c:strCache>
                <c:ptCount val="1"/>
                <c:pt idx="0">
                  <c:v>Frutafit IQ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(Summary!$C$15,Summary!$E$15,Summary!$G$15,Summary!$I$15)</c:f>
                <c:numCache>
                  <c:formatCode>General</c:formatCode>
                  <c:ptCount val="4"/>
                  <c:pt idx="0">
                    <c:v>9.7690280340296982E-3</c:v>
                  </c:pt>
                  <c:pt idx="1">
                    <c:v>4.7840004165469914E-2</c:v>
                  </c:pt>
                  <c:pt idx="2">
                    <c:v>2.8215518280556306E-2</c:v>
                  </c:pt>
                  <c:pt idx="3">
                    <c:v>4.8217428296088577E-2</c:v>
                  </c:pt>
                </c:numCache>
              </c:numRef>
            </c:plus>
            <c:minus>
              <c:numRef>
                <c:f>(Summary!$C$15,Summary!$E$15,Summary!$G$15,Summary!$I$15)</c:f>
                <c:numCache>
                  <c:formatCode>General</c:formatCode>
                  <c:ptCount val="4"/>
                  <c:pt idx="0">
                    <c:v>9.7690280340296982E-3</c:v>
                  </c:pt>
                  <c:pt idx="1">
                    <c:v>4.7840004165469914E-2</c:v>
                  </c:pt>
                  <c:pt idx="2">
                    <c:v>2.8215518280556306E-2</c:v>
                  </c:pt>
                  <c:pt idx="3">
                    <c:v>4.8217428296088577E-2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(Summary!$B$15,Summary!$D$15,Summary!$F$15,Summary!$H$15)</c:f>
              <c:numCache>
                <c:formatCode>0.0000</c:formatCode>
                <c:ptCount val="4"/>
                <c:pt idx="0">
                  <c:v>5.7875711210480338E-2</c:v>
                </c:pt>
                <c:pt idx="1">
                  <c:v>8.77808566960223E-2</c:v>
                </c:pt>
                <c:pt idx="2">
                  <c:v>0.11521772179033136</c:v>
                </c:pt>
                <c:pt idx="3">
                  <c:v>0.12386815959690436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68-448A-9948-CDE468FA61F9}"/>
            </c:ext>
          </c:extLst>
        </c:ser>
        <c:ser>
          <c:idx val="3"/>
          <c:order val="3"/>
          <c:tx>
            <c:strRef>
              <c:f>Summary!$A$16</c:f>
              <c:strCache>
                <c:ptCount val="1"/>
                <c:pt idx="0">
                  <c:v>Mangaba Pulp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(Summary!$C$16,Summary!$E$16,Summary!$G$16,Summary!$I$16)</c:f>
                <c:numCache>
                  <c:formatCode>General</c:formatCode>
                  <c:ptCount val="4"/>
                  <c:pt idx="0">
                    <c:v>9.7690280340296982E-3</c:v>
                  </c:pt>
                  <c:pt idx="1">
                    <c:v>1.871726598602828E-2</c:v>
                  </c:pt>
                  <c:pt idx="2">
                    <c:v>8.9969758218490826E-3</c:v>
                  </c:pt>
                  <c:pt idx="3">
                    <c:v>4.5578406834324819E-2</c:v>
                  </c:pt>
                </c:numCache>
              </c:numRef>
            </c:plus>
            <c:minus>
              <c:numRef>
                <c:f>(Summary!$C$16,Summary!$E$16,Summary!$G$16,Summary!$I$16)</c:f>
                <c:numCache>
                  <c:formatCode>General</c:formatCode>
                  <c:ptCount val="4"/>
                  <c:pt idx="0">
                    <c:v>9.7690280340296982E-3</c:v>
                  </c:pt>
                  <c:pt idx="1">
                    <c:v>1.871726598602828E-2</c:v>
                  </c:pt>
                  <c:pt idx="2">
                    <c:v>8.9969758218490826E-3</c:v>
                  </c:pt>
                  <c:pt idx="3">
                    <c:v>4.5578406834324819E-2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(Summary!$B$16,Summary!$D$16,Summary!$F$16,Summary!$H$16)</c:f>
              <c:numCache>
                <c:formatCode>0.0000</c:formatCode>
                <c:ptCount val="4"/>
                <c:pt idx="0">
                  <c:v>5.7875711210480338E-2</c:v>
                </c:pt>
                <c:pt idx="1">
                  <c:v>1.82742119952281E-2</c:v>
                </c:pt>
                <c:pt idx="2">
                  <c:v>3.7474841133147252E-2</c:v>
                </c:pt>
                <c:pt idx="3">
                  <c:v>8.5905220086596359E-2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68-448A-9948-CDE468FA61F9}"/>
            </c:ext>
          </c:extLst>
        </c:ser>
        <c:ser>
          <c:idx val="4"/>
          <c:order val="4"/>
          <c:tx>
            <c:strRef>
              <c:f>Summary!$A$17</c:f>
              <c:strCache>
                <c:ptCount val="1"/>
                <c:pt idx="0">
                  <c:v>Mangaba extract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(Summary!$C$17,Summary!$E$17,Summary!$G$17,Summary!$I$17)</c:f>
                <c:numCache>
                  <c:formatCode>General</c:formatCode>
                  <c:ptCount val="4"/>
                  <c:pt idx="0">
                    <c:v>9.7690280340296982E-3</c:v>
                  </c:pt>
                  <c:pt idx="1">
                    <c:v>2.790352668914353E-3</c:v>
                  </c:pt>
                  <c:pt idx="2">
                    <c:v>1.5309024991467697E-2</c:v>
                  </c:pt>
                  <c:pt idx="3">
                    <c:v>1.1900863054731921E-2</c:v>
                  </c:pt>
                </c:numCache>
              </c:numRef>
            </c:plus>
            <c:minus>
              <c:numRef>
                <c:f>(Summary!$C$17,Summary!$E$17,Summary!$G$17,Summary!$I$17)</c:f>
                <c:numCache>
                  <c:formatCode>General</c:formatCode>
                  <c:ptCount val="4"/>
                  <c:pt idx="0">
                    <c:v>9.7690280340296982E-3</c:v>
                  </c:pt>
                  <c:pt idx="1">
                    <c:v>2.790352668914353E-3</c:v>
                  </c:pt>
                  <c:pt idx="2">
                    <c:v>1.5309024991467697E-2</c:v>
                  </c:pt>
                  <c:pt idx="3">
                    <c:v>1.1900863054731921E-2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(Summary!$B$17,Summary!$D$17,Summary!$F$17,Summary!$H$17)</c:f>
              <c:numCache>
                <c:formatCode>0.0000</c:formatCode>
                <c:ptCount val="4"/>
                <c:pt idx="0">
                  <c:v>5.7875711210480338E-2</c:v>
                </c:pt>
                <c:pt idx="1">
                  <c:v>5.5388001216716276E-3</c:v>
                </c:pt>
                <c:pt idx="2">
                  <c:v>2.4690997709840325E-2</c:v>
                </c:pt>
                <c:pt idx="3">
                  <c:v>2.9586165010049615E-2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68-448A-9948-CDE468FA6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144592"/>
        <c:axId val="1329145072"/>
      </c:barChart>
      <c:catAx>
        <c:axId val="132914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5072"/>
        <c:crosses val="autoZero"/>
        <c:auto val="1"/>
        <c:lblAlgn val="ctr"/>
        <c:lblOffset val="100"/>
        <c:noMultiLvlLbl val="0"/>
      </c:catAx>
      <c:valAx>
        <c:axId val="1329145072"/>
        <c:scaling>
          <c:orientation val="minMax"/>
          <c:max val="0.25"/>
          <c:min val="-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4592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Acetic acid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Summary!$A$4</c:f>
              <c:strCache>
                <c:ptCount val="1"/>
                <c:pt idx="0">
                  <c:v>Negative control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(Summary!$C$22,Summary!$E$22,Summary!$G$22,Summary!$I$22)</c:f>
                <c:numCache>
                  <c:formatCode>General</c:formatCode>
                  <c:ptCount val="4"/>
                  <c:pt idx="0">
                    <c:v>3.898357934378701E-2</c:v>
                  </c:pt>
                  <c:pt idx="1">
                    <c:v>7.5851877754819053E-2</c:v>
                  </c:pt>
                  <c:pt idx="2">
                    <c:v>0.1449244311168176</c:v>
                  </c:pt>
                  <c:pt idx="3">
                    <c:v>0.1592891233259473</c:v>
                  </c:pt>
                </c:numCache>
              </c:numRef>
            </c:plus>
            <c:minus>
              <c:numRef>
                <c:f>(Summary!$C$22,Summary!$E$22,Summary!$G$22,Summary!$I$22)</c:f>
                <c:numCache>
                  <c:formatCode>General</c:formatCode>
                  <c:ptCount val="4"/>
                  <c:pt idx="0">
                    <c:v>3.898357934378701E-2</c:v>
                  </c:pt>
                  <c:pt idx="1">
                    <c:v>7.5851877754819053E-2</c:v>
                  </c:pt>
                  <c:pt idx="2">
                    <c:v>0.1449244311168176</c:v>
                  </c:pt>
                  <c:pt idx="3">
                    <c:v>0.1592891233259473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(Summary!$B$2,Summary!$D$2,Summary!$F$2,Summary!$H$2)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(Summary!$B$22,Summary!$D$22,Summary!$F$22,Summary!$H$22)</c:f>
              <c:numCache>
                <c:formatCode>0.0000</c:formatCode>
                <c:ptCount val="4"/>
                <c:pt idx="0">
                  <c:v>2.7032161674114302E-2</c:v>
                </c:pt>
                <c:pt idx="1">
                  <c:v>0.21751733465011247</c:v>
                </c:pt>
                <c:pt idx="2">
                  <c:v>0.49536778266311077</c:v>
                </c:pt>
                <c:pt idx="3">
                  <c:v>0.84081768222025721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EF-45F7-B595-3A8E43E9D5AA}"/>
            </c:ext>
          </c:extLst>
        </c:ser>
        <c:ser>
          <c:idx val="1"/>
          <c:order val="1"/>
          <c:tx>
            <c:strRef>
              <c:f>Summary!$A$5</c:f>
              <c:strCache>
                <c:ptCount val="1"/>
                <c:pt idx="0">
                  <c:v>Frutalose OFP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(Summary!$C$23,Summary!$E$23,Summary!$G$23,Summary!$I$23)</c:f>
                <c:numCache>
                  <c:formatCode>General</c:formatCode>
                  <c:ptCount val="4"/>
                  <c:pt idx="0">
                    <c:v>3.898357934378701E-2</c:v>
                  </c:pt>
                  <c:pt idx="1">
                    <c:v>0.42502737060029655</c:v>
                  </c:pt>
                  <c:pt idx="2">
                    <c:v>0.85350771416881077</c:v>
                  </c:pt>
                  <c:pt idx="3">
                    <c:v>0.94900574167575147</c:v>
                  </c:pt>
                </c:numCache>
              </c:numRef>
            </c:plus>
            <c:minus>
              <c:numRef>
                <c:f>(Summary!$C$23,Summary!$E$23,Summary!$G$23,Summary!$I$23)</c:f>
                <c:numCache>
                  <c:formatCode>General</c:formatCode>
                  <c:ptCount val="4"/>
                  <c:pt idx="0">
                    <c:v>3.898357934378701E-2</c:v>
                  </c:pt>
                  <c:pt idx="1">
                    <c:v>0.42502737060029655</c:v>
                  </c:pt>
                  <c:pt idx="2">
                    <c:v>0.85350771416881077</c:v>
                  </c:pt>
                  <c:pt idx="3">
                    <c:v>0.94900574167575147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(Summary!$B$2,Summary!$D$2,Summary!$F$2,Summary!$H$2)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(Summary!$B$23,Summary!$D$23,Summary!$F$23,Summary!$H$23)</c:f>
              <c:numCache>
                <c:formatCode>0.0000</c:formatCode>
                <c:ptCount val="4"/>
                <c:pt idx="0">
                  <c:v>2.7032161674114302E-2</c:v>
                </c:pt>
                <c:pt idx="1">
                  <c:v>0.70610656236724234</c:v>
                </c:pt>
                <c:pt idx="2">
                  <c:v>1.550247263043401</c:v>
                </c:pt>
                <c:pt idx="3">
                  <c:v>2.0837804763317953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EF-45F7-B595-3A8E43E9D5AA}"/>
            </c:ext>
          </c:extLst>
        </c:ser>
        <c:ser>
          <c:idx val="2"/>
          <c:order val="2"/>
          <c:tx>
            <c:strRef>
              <c:f>Summary!$A$24</c:f>
              <c:strCache>
                <c:ptCount val="1"/>
                <c:pt idx="0">
                  <c:v>Frutafit IQ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(Summary!$C$24,Summary!$E$24,Summary!$G$24,Summary!$I$24)</c:f>
                <c:numCache>
                  <c:formatCode>General</c:formatCode>
                  <c:ptCount val="4"/>
                  <c:pt idx="0">
                    <c:v>3.898357934378701E-2</c:v>
                  </c:pt>
                  <c:pt idx="1">
                    <c:v>0.43553719809404529</c:v>
                  </c:pt>
                  <c:pt idx="2">
                    <c:v>0.83517565024632057</c:v>
                  </c:pt>
                  <c:pt idx="3">
                    <c:v>1.2488152589193755</c:v>
                  </c:pt>
                </c:numCache>
              </c:numRef>
            </c:plus>
            <c:minus>
              <c:numRef>
                <c:f>(Summary!$C$24,Summary!$E$24,Summary!$G$24,Summary!$I$24)</c:f>
                <c:numCache>
                  <c:formatCode>General</c:formatCode>
                  <c:ptCount val="4"/>
                  <c:pt idx="0">
                    <c:v>3.898357934378701E-2</c:v>
                  </c:pt>
                  <c:pt idx="1">
                    <c:v>0.43553719809404529</c:v>
                  </c:pt>
                  <c:pt idx="2">
                    <c:v>0.83517565024632057</c:v>
                  </c:pt>
                  <c:pt idx="3">
                    <c:v>1.2488152589193755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(Summary!$B$24,Summary!$D$24,Summary!$F$24,Summary!$H$24)</c:f>
              <c:numCache>
                <c:formatCode>0.0000</c:formatCode>
                <c:ptCount val="4"/>
                <c:pt idx="0">
                  <c:v>2.7032161674114302E-2</c:v>
                </c:pt>
                <c:pt idx="1">
                  <c:v>0.62644468438236989</c:v>
                </c:pt>
                <c:pt idx="2">
                  <c:v>1.1362448175898736</c:v>
                </c:pt>
                <c:pt idx="3">
                  <c:v>1.7536382388051579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28-473E-A34C-DB04F09D22C5}"/>
            </c:ext>
          </c:extLst>
        </c:ser>
        <c:ser>
          <c:idx val="3"/>
          <c:order val="3"/>
          <c:tx>
            <c:strRef>
              <c:f>Summary!$A$25</c:f>
              <c:strCache>
                <c:ptCount val="1"/>
                <c:pt idx="0">
                  <c:v>Mangaba Pulp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(Summary!$C$25,Summary!$E$25,Summary!$G$25,Summary!$I$25)</c:f>
                <c:numCache>
                  <c:formatCode>General</c:formatCode>
                  <c:ptCount val="4"/>
                  <c:pt idx="0">
                    <c:v>3.898357934378701E-2</c:v>
                  </c:pt>
                  <c:pt idx="1">
                    <c:v>0.15820225656750497</c:v>
                  </c:pt>
                  <c:pt idx="2">
                    <c:v>0.60890911360666267</c:v>
                  </c:pt>
                  <c:pt idx="3">
                    <c:v>0.67466204977642408</c:v>
                  </c:pt>
                </c:numCache>
              </c:numRef>
            </c:plus>
            <c:minus>
              <c:numRef>
                <c:f>(Summary!$C$25,Summary!$E$25,Summary!$G$25,Summary!$I$25)</c:f>
                <c:numCache>
                  <c:formatCode>General</c:formatCode>
                  <c:ptCount val="4"/>
                  <c:pt idx="0">
                    <c:v>3.898357934378701E-2</c:v>
                  </c:pt>
                  <c:pt idx="1">
                    <c:v>0.15820225656750497</c:v>
                  </c:pt>
                  <c:pt idx="2">
                    <c:v>0.60890911360666267</c:v>
                  </c:pt>
                  <c:pt idx="3">
                    <c:v>0.67466204977642408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(Summary!$B$25,Summary!$D$25,Summary!$F$25,Summary!$H$25)</c:f>
              <c:numCache>
                <c:formatCode>0.0000</c:formatCode>
                <c:ptCount val="4"/>
                <c:pt idx="0">
                  <c:v>2.7032161674114302E-2</c:v>
                </c:pt>
                <c:pt idx="1">
                  <c:v>0.31157075133808304</c:v>
                </c:pt>
                <c:pt idx="2">
                  <c:v>1.2151568079727013</c:v>
                </c:pt>
                <c:pt idx="3">
                  <c:v>1.3339837273586972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28-473E-A34C-DB04F09D22C5}"/>
            </c:ext>
          </c:extLst>
        </c:ser>
        <c:ser>
          <c:idx val="4"/>
          <c:order val="4"/>
          <c:tx>
            <c:strRef>
              <c:f>Summary!$A$26</c:f>
              <c:strCache>
                <c:ptCount val="1"/>
                <c:pt idx="0">
                  <c:v>Mangaba extract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(Summary!$C$26,Summary!$E$26,Summary!$G$26,Summary!$I$26)</c:f>
                <c:numCache>
                  <c:formatCode>General</c:formatCode>
                  <c:ptCount val="4"/>
                  <c:pt idx="0">
                    <c:v>3.898357934378701E-2</c:v>
                  </c:pt>
                  <c:pt idx="1">
                    <c:v>0.11146165749657376</c:v>
                  </c:pt>
                  <c:pt idx="2">
                    <c:v>0.67858496032017956</c:v>
                  </c:pt>
                  <c:pt idx="3">
                    <c:v>0.77785040733905075</c:v>
                  </c:pt>
                </c:numCache>
              </c:numRef>
            </c:plus>
            <c:minus>
              <c:numRef>
                <c:f>(Summary!$C$26,Summary!$E$26,Summary!$G$26,Summary!$I$26)</c:f>
                <c:numCache>
                  <c:formatCode>General</c:formatCode>
                  <c:ptCount val="4"/>
                  <c:pt idx="0">
                    <c:v>3.898357934378701E-2</c:v>
                  </c:pt>
                  <c:pt idx="1">
                    <c:v>0.11146165749657376</c:v>
                  </c:pt>
                  <c:pt idx="2">
                    <c:v>0.67858496032017956</c:v>
                  </c:pt>
                  <c:pt idx="3">
                    <c:v>0.77785040733905075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(Summary!$B$26,Summary!$D$26,Summary!$F$26,Summary!$H$26)</c:f>
              <c:numCache>
                <c:formatCode>0.0000</c:formatCode>
                <c:ptCount val="4"/>
                <c:pt idx="0">
                  <c:v>2.7032161674114302E-2</c:v>
                </c:pt>
                <c:pt idx="1">
                  <c:v>0.18094073140019107</c:v>
                </c:pt>
                <c:pt idx="2">
                  <c:v>0.85801565210627917</c:v>
                </c:pt>
                <c:pt idx="3">
                  <c:v>1.4312986033043487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28-473E-A34C-DB04F09D2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144592"/>
        <c:axId val="1329145072"/>
      </c:barChart>
      <c:catAx>
        <c:axId val="132914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5072"/>
        <c:crosses val="autoZero"/>
        <c:auto val="1"/>
        <c:lblAlgn val="ctr"/>
        <c:lblOffset val="100"/>
        <c:noMultiLvlLbl val="0"/>
      </c:catAx>
      <c:valAx>
        <c:axId val="1329145072"/>
        <c:scaling>
          <c:orientation val="minMax"/>
          <c:max val="3.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459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Propionic acid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Summary!$A$4</c:f>
              <c:strCache>
                <c:ptCount val="1"/>
                <c:pt idx="0">
                  <c:v>Negative control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(Summary!$C$31,Summary!$E$31,Summary!$G$31,Summary!$I$31)</c:f>
                <c:numCache>
                  <c:formatCode>General</c:formatCode>
                  <c:ptCount val="4"/>
                  <c:pt idx="0">
                    <c:v>5.0954893016052612E-2</c:v>
                  </c:pt>
                  <c:pt idx="1">
                    <c:v>2.6696521107642885E-2</c:v>
                  </c:pt>
                  <c:pt idx="2">
                    <c:v>2.2446773111110072E-2</c:v>
                  </c:pt>
                  <c:pt idx="3">
                    <c:v>6.5209013764045143E-2</c:v>
                  </c:pt>
                </c:numCache>
              </c:numRef>
            </c:plus>
            <c:minus>
              <c:numRef>
                <c:f>(Summary!$C$31,Summary!$E$31,Summary!$G$31,Summary!$I$31)</c:f>
                <c:numCache>
                  <c:formatCode>General</c:formatCode>
                  <c:ptCount val="4"/>
                  <c:pt idx="0">
                    <c:v>5.0954893016052612E-2</c:v>
                  </c:pt>
                  <c:pt idx="1">
                    <c:v>2.6696521107642885E-2</c:v>
                  </c:pt>
                  <c:pt idx="2">
                    <c:v>2.2446773111110072E-2</c:v>
                  </c:pt>
                  <c:pt idx="3">
                    <c:v>6.5209013764045143E-2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(Summary!$B$2,Summary!$D$2,Summary!$F$2,Summary!$H$2)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(Summary!$B$31,Summary!$D$31,Summary!$F$31,Summary!$H$31)</c:f>
              <c:numCache>
                <c:formatCode>0.0000</c:formatCode>
                <c:ptCount val="4"/>
                <c:pt idx="0">
                  <c:v>0.22688512776118869</c:v>
                </c:pt>
                <c:pt idx="1">
                  <c:v>0.2160989366088753</c:v>
                </c:pt>
                <c:pt idx="2">
                  <c:v>0.24014006805316077</c:v>
                </c:pt>
                <c:pt idx="3">
                  <c:v>0.21803383423347658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14-4A47-98CB-C64C59B9F70A}"/>
            </c:ext>
          </c:extLst>
        </c:ser>
        <c:ser>
          <c:idx val="1"/>
          <c:order val="1"/>
          <c:tx>
            <c:strRef>
              <c:f>Summary!$A$5</c:f>
              <c:strCache>
                <c:ptCount val="1"/>
                <c:pt idx="0">
                  <c:v>Frutalose OFP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(Summary!$C$32,Summary!$E$32,Summary!$G$32,Summary!$I$32)</c:f>
                <c:numCache>
                  <c:formatCode>General</c:formatCode>
                  <c:ptCount val="4"/>
                  <c:pt idx="0">
                    <c:v>5.0954893016052612E-2</c:v>
                  </c:pt>
                  <c:pt idx="1">
                    <c:v>0.22756762991066634</c:v>
                  </c:pt>
                  <c:pt idx="2">
                    <c:v>0.28081431684003216</c:v>
                  </c:pt>
                  <c:pt idx="3">
                    <c:v>0.40654359834476628</c:v>
                  </c:pt>
                </c:numCache>
              </c:numRef>
            </c:plus>
            <c:minus>
              <c:numRef>
                <c:f>(Summary!$C$32,Summary!$E$32,Summary!$G$32,Summary!$I$32)</c:f>
                <c:numCache>
                  <c:formatCode>General</c:formatCode>
                  <c:ptCount val="4"/>
                  <c:pt idx="0">
                    <c:v>5.0954893016052612E-2</c:v>
                  </c:pt>
                  <c:pt idx="1">
                    <c:v>0.22756762991066634</c:v>
                  </c:pt>
                  <c:pt idx="2">
                    <c:v>0.28081431684003216</c:v>
                  </c:pt>
                  <c:pt idx="3">
                    <c:v>0.40654359834476628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(Summary!$B$2,Summary!$D$2,Summary!$F$2,Summary!$H$2)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(Summary!$B$32,Summary!$D$32,Summary!$F$32,Summary!$H$32)</c:f>
              <c:numCache>
                <c:formatCode>0.0000</c:formatCode>
                <c:ptCount val="4"/>
                <c:pt idx="0">
                  <c:v>0.22688512776118869</c:v>
                </c:pt>
                <c:pt idx="1">
                  <c:v>0.58122005570415447</c:v>
                </c:pt>
                <c:pt idx="2">
                  <c:v>0.70094538793939443</c:v>
                </c:pt>
                <c:pt idx="3">
                  <c:v>0.70290236139035078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14-4A47-98CB-C64C59B9F70A}"/>
            </c:ext>
          </c:extLst>
        </c:ser>
        <c:ser>
          <c:idx val="2"/>
          <c:order val="2"/>
          <c:tx>
            <c:strRef>
              <c:f>Summary!$A$33</c:f>
              <c:strCache>
                <c:ptCount val="1"/>
                <c:pt idx="0">
                  <c:v>Frutafit IQ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(Summary!$C$33,Summary!$E$33,Summary!$G$33,Summary!$I$33)</c:f>
                <c:numCache>
                  <c:formatCode>General</c:formatCode>
                  <c:ptCount val="4"/>
                  <c:pt idx="0">
                    <c:v>5.0954893016052612E-2</c:v>
                  </c:pt>
                  <c:pt idx="1">
                    <c:v>7.7864002912109612E-2</c:v>
                  </c:pt>
                  <c:pt idx="2">
                    <c:v>0.15999999917839491</c:v>
                  </c:pt>
                  <c:pt idx="3">
                    <c:v>0.32848172776190782</c:v>
                  </c:pt>
                </c:numCache>
              </c:numRef>
            </c:plus>
            <c:minus>
              <c:numRef>
                <c:f>(Summary!$C$33,Summary!$E$33,Summary!$G$33,Summary!$I$33)</c:f>
                <c:numCache>
                  <c:formatCode>General</c:formatCode>
                  <c:ptCount val="4"/>
                  <c:pt idx="0">
                    <c:v>5.0954893016052612E-2</c:v>
                  </c:pt>
                  <c:pt idx="1">
                    <c:v>7.7864002912109612E-2</c:v>
                  </c:pt>
                  <c:pt idx="2">
                    <c:v>0.15999999917839491</c:v>
                  </c:pt>
                  <c:pt idx="3">
                    <c:v>0.32848172776190782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(Summary!$B$33,Summary!$D$33,Summary!$F$33,Summary!$H$33)</c:f>
              <c:numCache>
                <c:formatCode>0.0000</c:formatCode>
                <c:ptCount val="4"/>
                <c:pt idx="0">
                  <c:v>0.22688512776118869</c:v>
                </c:pt>
                <c:pt idx="1">
                  <c:v>0.62823568209327463</c:v>
                </c:pt>
                <c:pt idx="2">
                  <c:v>0.72075807335207953</c:v>
                </c:pt>
                <c:pt idx="3">
                  <c:v>0.85505358303686418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C-4E47-9B6E-DB86DF50C4A8}"/>
            </c:ext>
          </c:extLst>
        </c:ser>
        <c:ser>
          <c:idx val="3"/>
          <c:order val="3"/>
          <c:tx>
            <c:strRef>
              <c:f>Summary!$A$34</c:f>
              <c:strCache>
                <c:ptCount val="1"/>
                <c:pt idx="0">
                  <c:v>Mangaba Pulp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(Summary!$C$34,Summary!$E$34,Summary!$G$34,Summary!$I$34)</c:f>
                <c:numCache>
                  <c:formatCode>General</c:formatCode>
                  <c:ptCount val="4"/>
                  <c:pt idx="0">
                    <c:v>5.0954893016052612E-2</c:v>
                  </c:pt>
                  <c:pt idx="1">
                    <c:v>0.27676244198696442</c:v>
                  </c:pt>
                  <c:pt idx="2">
                    <c:v>0.41091186128061341</c:v>
                  </c:pt>
                  <c:pt idx="3">
                    <c:v>0.48556353294202387</c:v>
                  </c:pt>
                </c:numCache>
              </c:numRef>
            </c:plus>
            <c:minus>
              <c:numRef>
                <c:f>(Summary!$C$34,Summary!$E$34,Summary!$G$34,Summary!$I$34)</c:f>
                <c:numCache>
                  <c:formatCode>General</c:formatCode>
                  <c:ptCount val="4"/>
                  <c:pt idx="0">
                    <c:v>5.0954893016052612E-2</c:v>
                  </c:pt>
                  <c:pt idx="1">
                    <c:v>0.27676244198696442</c:v>
                  </c:pt>
                  <c:pt idx="2">
                    <c:v>0.41091186128061341</c:v>
                  </c:pt>
                  <c:pt idx="3">
                    <c:v>0.48556353294202387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(Summary!$B$34,Summary!$D$34,Summary!$F$34,Summary!$H$34)</c:f>
              <c:numCache>
                <c:formatCode>0.0000</c:formatCode>
                <c:ptCount val="4"/>
                <c:pt idx="0">
                  <c:v>0.22688512776118869</c:v>
                </c:pt>
                <c:pt idx="1">
                  <c:v>0.60069820031494869</c:v>
                </c:pt>
                <c:pt idx="2">
                  <c:v>0.79729426977573337</c:v>
                </c:pt>
                <c:pt idx="3">
                  <c:v>0.75660883521131983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FC-4E47-9B6E-DB86DF50C4A8}"/>
            </c:ext>
          </c:extLst>
        </c:ser>
        <c:ser>
          <c:idx val="4"/>
          <c:order val="4"/>
          <c:tx>
            <c:strRef>
              <c:f>Summary!$A$35</c:f>
              <c:strCache>
                <c:ptCount val="1"/>
                <c:pt idx="0">
                  <c:v>Mangaba extract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(Summary!$C$35,Summary!$E$35,Summary!$G$35,Summary!$I$35)</c:f>
                <c:numCache>
                  <c:formatCode>General</c:formatCode>
                  <c:ptCount val="4"/>
                  <c:pt idx="0">
                    <c:v>5.0954893016052612E-2</c:v>
                  </c:pt>
                  <c:pt idx="1">
                    <c:v>0.21341596246867342</c:v>
                  </c:pt>
                  <c:pt idx="2">
                    <c:v>0.32073170643422177</c:v>
                  </c:pt>
                  <c:pt idx="3">
                    <c:v>0.30474915045143613</c:v>
                  </c:pt>
                </c:numCache>
              </c:numRef>
            </c:plus>
            <c:minus>
              <c:numRef>
                <c:f>(Summary!$C$35,Summary!$E$35,Summary!$G$35,Summary!$I$35)</c:f>
                <c:numCache>
                  <c:formatCode>General</c:formatCode>
                  <c:ptCount val="4"/>
                  <c:pt idx="0">
                    <c:v>5.0954893016052612E-2</c:v>
                  </c:pt>
                  <c:pt idx="1">
                    <c:v>0.21341596246867342</c:v>
                  </c:pt>
                  <c:pt idx="2">
                    <c:v>0.32073170643422177</c:v>
                  </c:pt>
                  <c:pt idx="3">
                    <c:v>0.30474915045143613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(Summary!$B$35,Summary!$D$35,Summary!$F$35,Summary!$H$35)</c:f>
              <c:numCache>
                <c:formatCode>0.0000</c:formatCode>
                <c:ptCount val="4"/>
                <c:pt idx="0">
                  <c:v>0.22688512776118869</c:v>
                </c:pt>
                <c:pt idx="1">
                  <c:v>0.56506350374105807</c:v>
                </c:pt>
                <c:pt idx="2">
                  <c:v>0.51922755068284332</c:v>
                </c:pt>
                <c:pt idx="3">
                  <c:v>0.48143383043759203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FC-4E47-9B6E-DB86DF50C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144592"/>
        <c:axId val="1329145072"/>
      </c:barChart>
      <c:catAx>
        <c:axId val="132914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5072"/>
        <c:crosses val="autoZero"/>
        <c:auto val="1"/>
        <c:lblAlgn val="ctr"/>
        <c:lblOffset val="100"/>
        <c:noMultiLvlLbl val="0"/>
      </c:catAx>
      <c:valAx>
        <c:axId val="1329145072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4592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Iso-butyric acid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Summary!$A$4</c:f>
              <c:strCache>
                <c:ptCount val="1"/>
                <c:pt idx="0">
                  <c:v>Negative control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(Summary!$C$40,Summary!$E$40,Summary!$G$40,Summary!$I$40)</c:f>
                <c:numCache>
                  <c:formatCode>General</c:formatCode>
                  <c:ptCount val="4"/>
                  <c:pt idx="0">
                    <c:v>1.4753631095777089E-2</c:v>
                  </c:pt>
                  <c:pt idx="1">
                    <c:v>1.8601202825080498E-2</c:v>
                  </c:pt>
                  <c:pt idx="2">
                    <c:v>1.0689919699588197E-2</c:v>
                  </c:pt>
                  <c:pt idx="3">
                    <c:v>3.963291263013087E-2</c:v>
                  </c:pt>
                </c:numCache>
              </c:numRef>
            </c:plus>
            <c:minus>
              <c:numRef>
                <c:f>(Summary!$C$40,Summary!$E$40,Summary!$G$40,Summary!$I$40)</c:f>
                <c:numCache>
                  <c:formatCode>General</c:formatCode>
                  <c:ptCount val="4"/>
                  <c:pt idx="0">
                    <c:v>1.4753631095777089E-2</c:v>
                  </c:pt>
                  <c:pt idx="1">
                    <c:v>1.8601202825080498E-2</c:v>
                  </c:pt>
                  <c:pt idx="2">
                    <c:v>1.0689919699588197E-2</c:v>
                  </c:pt>
                  <c:pt idx="3">
                    <c:v>3.963291263013087E-2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(Summary!$B$2,Summary!$D$2,Summary!$F$2,Summary!$H$2)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(Summary!$B$40,Summary!$D$40,Summary!$F$40,Summary!$H$40)</c:f>
              <c:numCache>
                <c:formatCode>0.0000</c:formatCode>
                <c:ptCount val="4"/>
                <c:pt idx="0">
                  <c:v>3.3091282910097136E-2</c:v>
                </c:pt>
                <c:pt idx="1">
                  <c:v>7.5498807936979648E-2</c:v>
                </c:pt>
                <c:pt idx="2">
                  <c:v>7.4298726117030339E-2</c:v>
                </c:pt>
                <c:pt idx="3">
                  <c:v>0.13197502006187289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07-4DCF-9757-ADD465D0E39E}"/>
            </c:ext>
          </c:extLst>
        </c:ser>
        <c:ser>
          <c:idx val="1"/>
          <c:order val="1"/>
          <c:tx>
            <c:strRef>
              <c:f>Summary!$A$5</c:f>
              <c:strCache>
                <c:ptCount val="1"/>
                <c:pt idx="0">
                  <c:v>Frutalose OFP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(Summary!$C$41,Summary!$E$41,Summary!$G$41,Summary!$I$41)</c:f>
                <c:numCache>
                  <c:formatCode>General</c:formatCode>
                  <c:ptCount val="4"/>
                  <c:pt idx="0">
                    <c:v>1.4753631095777089E-2</c:v>
                  </c:pt>
                  <c:pt idx="1">
                    <c:v>2.1353131752133964E-2</c:v>
                  </c:pt>
                  <c:pt idx="2">
                    <c:v>9.1615036348265365E-3</c:v>
                  </c:pt>
                  <c:pt idx="3">
                    <c:v>7.3830157707792891E-3</c:v>
                  </c:pt>
                </c:numCache>
              </c:numRef>
            </c:plus>
            <c:minus>
              <c:numRef>
                <c:f>(Summary!$C$41,Summary!$E$41,Summary!$G$41,Summary!$I$41)</c:f>
                <c:numCache>
                  <c:formatCode>General</c:formatCode>
                  <c:ptCount val="4"/>
                  <c:pt idx="0">
                    <c:v>1.4753631095777089E-2</c:v>
                  </c:pt>
                  <c:pt idx="1">
                    <c:v>2.1353131752133964E-2</c:v>
                  </c:pt>
                  <c:pt idx="2">
                    <c:v>9.1615036348265365E-3</c:v>
                  </c:pt>
                  <c:pt idx="3">
                    <c:v>7.3830157707792891E-3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(Summary!$B$2,Summary!$D$2,Summary!$F$2,Summary!$H$2)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(Summary!$B$41,Summary!$D$41,Summary!$F$41,Summary!$H$41)</c:f>
              <c:numCache>
                <c:formatCode>0.0000</c:formatCode>
                <c:ptCount val="4"/>
                <c:pt idx="0">
                  <c:v>3.3091282910097136E-2</c:v>
                </c:pt>
                <c:pt idx="1">
                  <c:v>5.2049425371380784E-2</c:v>
                </c:pt>
                <c:pt idx="2">
                  <c:v>4.3241813552860588E-2</c:v>
                </c:pt>
                <c:pt idx="3">
                  <c:v>2.7534883303033542E-2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07-4DCF-9757-ADD465D0E39E}"/>
            </c:ext>
          </c:extLst>
        </c:ser>
        <c:ser>
          <c:idx val="2"/>
          <c:order val="2"/>
          <c:tx>
            <c:strRef>
              <c:f>Summary!$A$42</c:f>
              <c:strCache>
                <c:ptCount val="1"/>
                <c:pt idx="0">
                  <c:v>Frutafit IQ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(Summary!$C$42,Summary!$E$42,Summary!$G$42,Summary!$I$42)</c:f>
                <c:numCache>
                  <c:formatCode>General</c:formatCode>
                  <c:ptCount val="4"/>
                  <c:pt idx="0">
                    <c:v>1.4753631095777089E-2</c:v>
                  </c:pt>
                  <c:pt idx="1">
                    <c:v>1.5608365828459094E-2</c:v>
                  </c:pt>
                  <c:pt idx="2">
                    <c:v>1.8962988661815398E-2</c:v>
                  </c:pt>
                  <c:pt idx="3">
                    <c:v>2.9039693913862522E-2</c:v>
                  </c:pt>
                </c:numCache>
              </c:numRef>
            </c:plus>
            <c:minus>
              <c:numRef>
                <c:f>(Summary!$C$42,Summary!$E$42,Summary!$G$42,Summary!$I$42)</c:f>
                <c:numCache>
                  <c:formatCode>General</c:formatCode>
                  <c:ptCount val="4"/>
                  <c:pt idx="0">
                    <c:v>1.4753631095777089E-2</c:v>
                  </c:pt>
                  <c:pt idx="1">
                    <c:v>1.5608365828459094E-2</c:v>
                  </c:pt>
                  <c:pt idx="2">
                    <c:v>1.8962988661815398E-2</c:v>
                  </c:pt>
                  <c:pt idx="3">
                    <c:v>2.9039693913862522E-2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(Summary!$B$42,Summary!$D$42,Summary!$F$42,Summary!$H$42)</c:f>
              <c:numCache>
                <c:formatCode>0.0000</c:formatCode>
                <c:ptCount val="4"/>
                <c:pt idx="0">
                  <c:v>3.3091282910097136E-2</c:v>
                </c:pt>
                <c:pt idx="1">
                  <c:v>5.7545373092088715E-2</c:v>
                </c:pt>
                <c:pt idx="2">
                  <c:v>4.1215644312078706E-2</c:v>
                </c:pt>
                <c:pt idx="3">
                  <c:v>3.7449732150585377E-2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29-4145-8D3A-C689C0124A33}"/>
            </c:ext>
          </c:extLst>
        </c:ser>
        <c:ser>
          <c:idx val="3"/>
          <c:order val="3"/>
          <c:tx>
            <c:strRef>
              <c:f>Summary!$A$43</c:f>
              <c:strCache>
                <c:ptCount val="1"/>
                <c:pt idx="0">
                  <c:v>Mangaba Pulp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(Summary!$C$43,Summary!$E$43,Summary!$G$43,Summary!$I$43)</c:f>
                <c:numCache>
                  <c:formatCode>General</c:formatCode>
                  <c:ptCount val="4"/>
                  <c:pt idx="0">
                    <c:v>1.4753631095777089E-2</c:v>
                  </c:pt>
                  <c:pt idx="1">
                    <c:v>1.365444866799434E-2</c:v>
                  </c:pt>
                  <c:pt idx="2">
                    <c:v>2.6491528624529026E-2</c:v>
                  </c:pt>
                  <c:pt idx="3">
                    <c:v>4.9551680248596163E-3</c:v>
                  </c:pt>
                </c:numCache>
              </c:numRef>
            </c:plus>
            <c:minus>
              <c:numRef>
                <c:f>(Summary!$C$43,Summary!$E$43,Summary!$G$43,Summary!$I$43)</c:f>
                <c:numCache>
                  <c:formatCode>General</c:formatCode>
                  <c:ptCount val="4"/>
                  <c:pt idx="0">
                    <c:v>1.4753631095777089E-2</c:v>
                  </c:pt>
                  <c:pt idx="1">
                    <c:v>1.365444866799434E-2</c:v>
                  </c:pt>
                  <c:pt idx="2">
                    <c:v>2.6491528624529026E-2</c:v>
                  </c:pt>
                  <c:pt idx="3">
                    <c:v>4.9551680248596163E-3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(Summary!$B$43,Summary!$D$43,Summary!$F$43,Summary!$H$43)</c:f>
              <c:numCache>
                <c:formatCode>0.0000</c:formatCode>
                <c:ptCount val="4"/>
                <c:pt idx="0">
                  <c:v>3.3091282910097136E-2</c:v>
                </c:pt>
                <c:pt idx="1">
                  <c:v>2.3735805794436647E-2</c:v>
                </c:pt>
                <c:pt idx="2">
                  <c:v>8.5537312119722098E-2</c:v>
                </c:pt>
                <c:pt idx="3">
                  <c:v>6.1704218259057232E-2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29-4145-8D3A-C689C0124A33}"/>
            </c:ext>
          </c:extLst>
        </c:ser>
        <c:ser>
          <c:idx val="4"/>
          <c:order val="4"/>
          <c:tx>
            <c:strRef>
              <c:f>Summary!$A$44</c:f>
              <c:strCache>
                <c:ptCount val="1"/>
                <c:pt idx="0">
                  <c:v>Mangaba extract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(Summary!$C$44,Summary!$E$44,Summary!$G$44,Summary!$I$44)</c:f>
                <c:numCache>
                  <c:formatCode>General</c:formatCode>
                  <c:ptCount val="4"/>
                  <c:pt idx="0">
                    <c:v>1.4753631095777089E-2</c:v>
                  </c:pt>
                  <c:pt idx="1">
                    <c:v>2.6753209761214102E-2</c:v>
                  </c:pt>
                  <c:pt idx="2">
                    <c:v>3.8277459769154018E-2</c:v>
                  </c:pt>
                  <c:pt idx="3">
                    <c:v>1.6356228414809264E-2</c:v>
                  </c:pt>
                </c:numCache>
              </c:numRef>
            </c:plus>
            <c:minus>
              <c:numRef>
                <c:f>(Summary!$C$44,Summary!$E$44,Summary!$G$44,Summary!$I$44)</c:f>
                <c:numCache>
                  <c:formatCode>General</c:formatCode>
                  <c:ptCount val="4"/>
                  <c:pt idx="0">
                    <c:v>1.4753631095777089E-2</c:v>
                  </c:pt>
                  <c:pt idx="1">
                    <c:v>2.6753209761214102E-2</c:v>
                  </c:pt>
                  <c:pt idx="2">
                    <c:v>3.8277459769154018E-2</c:v>
                  </c:pt>
                  <c:pt idx="3">
                    <c:v>1.6356228414809264E-2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(Summary!$B$44,Summary!$D$44,Summary!$F$44,Summary!$H$44)</c:f>
              <c:numCache>
                <c:formatCode>0.0000</c:formatCode>
                <c:ptCount val="4"/>
                <c:pt idx="0">
                  <c:v>3.3091282910097136E-2</c:v>
                </c:pt>
                <c:pt idx="1">
                  <c:v>5.747901829935842E-2</c:v>
                </c:pt>
                <c:pt idx="2">
                  <c:v>5.8085520029901597E-2</c:v>
                </c:pt>
                <c:pt idx="3">
                  <c:v>5.870490854328133E-2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29-4145-8D3A-C689C0124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144592"/>
        <c:axId val="1329145072"/>
      </c:barChart>
      <c:catAx>
        <c:axId val="132914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5072"/>
        <c:crosses val="autoZero"/>
        <c:auto val="1"/>
        <c:lblAlgn val="ctr"/>
        <c:lblOffset val="100"/>
        <c:noMultiLvlLbl val="0"/>
      </c:catAx>
      <c:valAx>
        <c:axId val="1329145072"/>
        <c:scaling>
          <c:orientation val="minMax"/>
          <c:max val="0.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4592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N-butyric acid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Summary!$A$4</c:f>
              <c:strCache>
                <c:ptCount val="1"/>
                <c:pt idx="0">
                  <c:v>Negative control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(Summary!$C$49,Summary!$E$49,Summary!$G$49,Summary!$I$49)</c:f>
                <c:numCache>
                  <c:formatCode>General</c:formatCode>
                  <c:ptCount val="4"/>
                  <c:pt idx="0">
                    <c:v>1.6889741247641143E-2</c:v>
                  </c:pt>
                  <c:pt idx="1">
                    <c:v>2.5767451461912873E-2</c:v>
                  </c:pt>
                  <c:pt idx="2">
                    <c:v>5.9397492396988411E-2</c:v>
                  </c:pt>
                  <c:pt idx="3">
                    <c:v>0.13784684945207448</c:v>
                  </c:pt>
                </c:numCache>
              </c:numRef>
            </c:plus>
            <c:minus>
              <c:numRef>
                <c:f>(Summary!$C$49,Summary!$E$49,Summary!$G$49,Summary!$I$49)</c:f>
                <c:numCache>
                  <c:formatCode>General</c:formatCode>
                  <c:ptCount val="4"/>
                  <c:pt idx="0">
                    <c:v>1.6889741247641143E-2</c:v>
                  </c:pt>
                  <c:pt idx="1">
                    <c:v>2.5767451461912873E-2</c:v>
                  </c:pt>
                  <c:pt idx="2">
                    <c:v>5.9397492396988411E-2</c:v>
                  </c:pt>
                  <c:pt idx="3">
                    <c:v>0.13784684945207448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(Summary!$B$2,Summary!$D$2,Summary!$F$2,Summary!$H$2)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(Summary!$B$49,Summary!$D$49,Summary!$F$49,Summary!$H$49)</c:f>
              <c:numCache>
                <c:formatCode>0.0000</c:formatCode>
                <c:ptCount val="4"/>
                <c:pt idx="0">
                  <c:v>3.5397593941995195E-2</c:v>
                </c:pt>
                <c:pt idx="1">
                  <c:v>4.2739134132594059E-2</c:v>
                </c:pt>
                <c:pt idx="2">
                  <c:v>0.18656854972795212</c:v>
                </c:pt>
                <c:pt idx="3">
                  <c:v>0.3924077090173036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2C-4322-A4EE-2CDFF2EE0C1A}"/>
            </c:ext>
          </c:extLst>
        </c:ser>
        <c:ser>
          <c:idx val="1"/>
          <c:order val="1"/>
          <c:tx>
            <c:strRef>
              <c:f>Summary!$A$5</c:f>
              <c:strCache>
                <c:ptCount val="1"/>
                <c:pt idx="0">
                  <c:v>Frutalose OFP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(Summary!$C$50,Summary!$E$50,Summary!$G$50,Summary!$I$50)</c:f>
                <c:numCache>
                  <c:formatCode>General</c:formatCode>
                  <c:ptCount val="4"/>
                  <c:pt idx="0">
                    <c:v>1.6889741247641143E-2</c:v>
                  </c:pt>
                  <c:pt idx="1">
                    <c:v>5.7369766264461337E-2</c:v>
                  </c:pt>
                  <c:pt idx="2">
                    <c:v>0.17486447332979677</c:v>
                  </c:pt>
                  <c:pt idx="3">
                    <c:v>0.40135152153326853</c:v>
                  </c:pt>
                </c:numCache>
              </c:numRef>
            </c:plus>
            <c:minus>
              <c:numRef>
                <c:f>(Summary!$C$50,Summary!$E$50,Summary!$G$50,Summary!$I$50)</c:f>
                <c:numCache>
                  <c:formatCode>General</c:formatCode>
                  <c:ptCount val="4"/>
                  <c:pt idx="0">
                    <c:v>1.6889741247641143E-2</c:v>
                  </c:pt>
                  <c:pt idx="1">
                    <c:v>5.7369766264461337E-2</c:v>
                  </c:pt>
                  <c:pt idx="2">
                    <c:v>0.17486447332979677</c:v>
                  </c:pt>
                  <c:pt idx="3">
                    <c:v>0.40135152153326853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(Summary!$B$2,Summary!$D$2,Summary!$F$2,Summary!$H$2)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(Summary!$B$50,Summary!$D$50,Summary!$F$50,Summary!$H$50)</c:f>
              <c:numCache>
                <c:formatCode>0.0000</c:formatCode>
                <c:ptCount val="4"/>
                <c:pt idx="0">
                  <c:v>3.5397593941995195E-2</c:v>
                </c:pt>
                <c:pt idx="1">
                  <c:v>8.9932029740093428E-2</c:v>
                </c:pt>
                <c:pt idx="2">
                  <c:v>0.19907442619182777</c:v>
                </c:pt>
                <c:pt idx="3">
                  <c:v>0.3261881977478982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2C-4322-A4EE-2CDFF2EE0C1A}"/>
            </c:ext>
          </c:extLst>
        </c:ser>
        <c:ser>
          <c:idx val="2"/>
          <c:order val="2"/>
          <c:tx>
            <c:strRef>
              <c:f>Summary!$A$51</c:f>
              <c:strCache>
                <c:ptCount val="1"/>
                <c:pt idx="0">
                  <c:v>Frutafit IQ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(Summary!$C$51,Summary!$E$51,Summary!$G$51,Summary!$I$51)</c:f>
                <c:numCache>
                  <c:formatCode>General</c:formatCode>
                  <c:ptCount val="4"/>
                  <c:pt idx="0">
                    <c:v>1.6889741247641143E-2</c:v>
                  </c:pt>
                  <c:pt idx="1">
                    <c:v>4.015716071966309E-2</c:v>
                  </c:pt>
                  <c:pt idx="2">
                    <c:v>0.16308293748630137</c:v>
                  </c:pt>
                  <c:pt idx="3">
                    <c:v>0.61516928585165975</c:v>
                  </c:pt>
                </c:numCache>
              </c:numRef>
            </c:plus>
            <c:minus>
              <c:numRef>
                <c:f>(Summary!$C$51,Summary!$E$51,Summary!$G$51,Summary!$I$51)</c:f>
                <c:numCache>
                  <c:formatCode>General</c:formatCode>
                  <c:ptCount val="4"/>
                  <c:pt idx="0">
                    <c:v>1.6889741247641143E-2</c:v>
                  </c:pt>
                  <c:pt idx="1">
                    <c:v>4.015716071966309E-2</c:v>
                  </c:pt>
                  <c:pt idx="2">
                    <c:v>0.16308293748630137</c:v>
                  </c:pt>
                  <c:pt idx="3">
                    <c:v>0.61516928585165975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(Summary!$B$51,Summary!$D$51,Summary!$F$51,Summary!$H$51)</c:f>
              <c:numCache>
                <c:formatCode>0.0000</c:formatCode>
                <c:ptCount val="4"/>
                <c:pt idx="0">
                  <c:v>3.5397593941995195E-2</c:v>
                </c:pt>
                <c:pt idx="1">
                  <c:v>7.8493842762284646E-2</c:v>
                </c:pt>
                <c:pt idx="2">
                  <c:v>0.19382793880962268</c:v>
                </c:pt>
                <c:pt idx="3">
                  <c:v>0.48790937262439604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A3-4BD0-B48B-D1AAB670AC02}"/>
            </c:ext>
          </c:extLst>
        </c:ser>
        <c:ser>
          <c:idx val="3"/>
          <c:order val="3"/>
          <c:tx>
            <c:strRef>
              <c:f>Summary!$A$52</c:f>
              <c:strCache>
                <c:ptCount val="1"/>
                <c:pt idx="0">
                  <c:v>Mangaba Pulp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(Summary!$C$52,Summary!$E$52,Summary!$G$52,Summary!$I$52)</c:f>
                <c:numCache>
                  <c:formatCode>General</c:formatCode>
                  <c:ptCount val="4"/>
                  <c:pt idx="0">
                    <c:v>1.6889741247641143E-2</c:v>
                  </c:pt>
                  <c:pt idx="1">
                    <c:v>4.5769388623156645E-2</c:v>
                  </c:pt>
                  <c:pt idx="2">
                    <c:v>6.0086503373745492E-2</c:v>
                  </c:pt>
                  <c:pt idx="3">
                    <c:v>0.11572943502924854</c:v>
                  </c:pt>
                </c:numCache>
              </c:numRef>
            </c:plus>
            <c:minus>
              <c:numRef>
                <c:f>(Summary!$C$52,Summary!$E$52,Summary!$G$52,Summary!$I$52)</c:f>
                <c:numCache>
                  <c:formatCode>General</c:formatCode>
                  <c:ptCount val="4"/>
                  <c:pt idx="0">
                    <c:v>1.6889741247641143E-2</c:v>
                  </c:pt>
                  <c:pt idx="1">
                    <c:v>4.5769388623156645E-2</c:v>
                  </c:pt>
                  <c:pt idx="2">
                    <c:v>6.0086503373745492E-2</c:v>
                  </c:pt>
                  <c:pt idx="3">
                    <c:v>0.11572943502924854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(Summary!$B$52,Summary!$D$52,Summary!$F$52,Summary!$H$52)</c:f>
              <c:numCache>
                <c:formatCode>0.0000</c:formatCode>
                <c:ptCount val="4"/>
                <c:pt idx="0">
                  <c:v>3.5397593941995195E-2</c:v>
                </c:pt>
                <c:pt idx="1">
                  <c:v>7.2656058512288763E-2</c:v>
                </c:pt>
                <c:pt idx="2">
                  <c:v>0.12851645789894367</c:v>
                </c:pt>
                <c:pt idx="3">
                  <c:v>0.13020802321139868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A3-4BD0-B48B-D1AAB670AC02}"/>
            </c:ext>
          </c:extLst>
        </c:ser>
        <c:ser>
          <c:idx val="4"/>
          <c:order val="4"/>
          <c:tx>
            <c:strRef>
              <c:f>Summary!$A$53</c:f>
              <c:strCache>
                <c:ptCount val="1"/>
                <c:pt idx="0">
                  <c:v>Mangaba extract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(Summary!$C$53,Summary!$E$53,Summary!$G$53,Summary!$I$53)</c:f>
                <c:numCache>
                  <c:formatCode>General</c:formatCode>
                  <c:ptCount val="4"/>
                  <c:pt idx="0">
                    <c:v>1.6889741247641143E-2</c:v>
                  </c:pt>
                  <c:pt idx="1">
                    <c:v>9.9699049916643703E-2</c:v>
                  </c:pt>
                  <c:pt idx="2">
                    <c:v>4.633452647405216E-2</c:v>
                  </c:pt>
                  <c:pt idx="3">
                    <c:v>0.10169524042706765</c:v>
                  </c:pt>
                </c:numCache>
              </c:numRef>
            </c:plus>
            <c:minus>
              <c:numRef>
                <c:f>(Summary!$C$53,Summary!$E$53,Summary!$G$53,Summary!$I$53)</c:f>
                <c:numCache>
                  <c:formatCode>General</c:formatCode>
                  <c:ptCount val="4"/>
                  <c:pt idx="0">
                    <c:v>1.6889741247641143E-2</c:v>
                  </c:pt>
                  <c:pt idx="1">
                    <c:v>9.9699049916643703E-2</c:v>
                  </c:pt>
                  <c:pt idx="2">
                    <c:v>4.633452647405216E-2</c:v>
                  </c:pt>
                  <c:pt idx="3">
                    <c:v>0.10169524042706765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(Summary!$B$53,Summary!$D$53,Summary!$F$53,Summary!$H$53)</c:f>
              <c:numCache>
                <c:formatCode>0.0000</c:formatCode>
                <c:ptCount val="4"/>
                <c:pt idx="0">
                  <c:v>3.5397593941995195E-2</c:v>
                </c:pt>
                <c:pt idx="1">
                  <c:v>0.26021462654798022</c:v>
                </c:pt>
                <c:pt idx="2">
                  <c:v>0.19652280441590514</c:v>
                </c:pt>
                <c:pt idx="3">
                  <c:v>0.19047909971807941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A3-4BD0-B48B-D1AAB670A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144592"/>
        <c:axId val="1329145072"/>
      </c:barChart>
      <c:catAx>
        <c:axId val="132914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5072"/>
        <c:crosses val="autoZero"/>
        <c:auto val="1"/>
        <c:lblAlgn val="ctr"/>
        <c:lblOffset val="100"/>
        <c:noMultiLvlLbl val="0"/>
      </c:catAx>
      <c:valAx>
        <c:axId val="1329145072"/>
        <c:scaling>
          <c:orientation val="minMax"/>
          <c:max val="1.2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4592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Iso-valeric acid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Summary!$A$4</c:f>
              <c:strCache>
                <c:ptCount val="1"/>
                <c:pt idx="0">
                  <c:v>Negative control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(Summary!$C$58,Summary!$E$58,Summary!$G$58,Summary!$I$58)</c:f>
                <c:numCache>
                  <c:formatCode>General</c:formatCode>
                  <c:ptCount val="4"/>
                  <c:pt idx="0">
                    <c:v>1.2798949303193511E-2</c:v>
                  </c:pt>
                  <c:pt idx="1">
                    <c:v>9.4260727090039242E-2</c:v>
                  </c:pt>
                  <c:pt idx="2">
                    <c:v>2.9293058778220461E-2</c:v>
                  </c:pt>
                  <c:pt idx="3">
                    <c:v>2.5797521206384497E-2</c:v>
                  </c:pt>
                </c:numCache>
              </c:numRef>
            </c:plus>
            <c:minus>
              <c:numRef>
                <c:f>(Summary!$C$58,Summary!$E$58,Summary!$G$58,Summary!$I$58)</c:f>
                <c:numCache>
                  <c:formatCode>General</c:formatCode>
                  <c:ptCount val="4"/>
                  <c:pt idx="0">
                    <c:v>1.2798949303193511E-2</c:v>
                  </c:pt>
                  <c:pt idx="1">
                    <c:v>9.4260727090039242E-2</c:v>
                  </c:pt>
                  <c:pt idx="2">
                    <c:v>2.9293058778220461E-2</c:v>
                  </c:pt>
                  <c:pt idx="3">
                    <c:v>2.5797521206384497E-2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(Summary!$B$2,Summary!$D$2,Summary!$F$2,Summary!$H$2)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(Summary!$B$58,Summary!$D$58,Summary!$F$58,Summary!$H$58)</c:f>
              <c:numCache>
                <c:formatCode>0.0000</c:formatCode>
                <c:ptCount val="4"/>
                <c:pt idx="0">
                  <c:v>6.8149546536168032E-2</c:v>
                </c:pt>
                <c:pt idx="1">
                  <c:v>0.21195877542759484</c:v>
                </c:pt>
                <c:pt idx="2">
                  <c:v>0.1226283626160078</c:v>
                </c:pt>
                <c:pt idx="3">
                  <c:v>0.26805307268993656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90-4BAD-B621-2FC84E9F9242}"/>
            </c:ext>
          </c:extLst>
        </c:ser>
        <c:ser>
          <c:idx val="1"/>
          <c:order val="1"/>
          <c:tx>
            <c:strRef>
              <c:f>Summary!$A$5</c:f>
              <c:strCache>
                <c:ptCount val="1"/>
                <c:pt idx="0">
                  <c:v>Frutalose OFP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(Summary!$C$59,Summary!$E$59,Summary!$G$59,Summary!$I$59)</c:f>
                <c:numCache>
                  <c:formatCode>General</c:formatCode>
                  <c:ptCount val="4"/>
                  <c:pt idx="0">
                    <c:v>1.2798949303193511E-2</c:v>
                  </c:pt>
                  <c:pt idx="1">
                    <c:v>9.3261490520822176E-3</c:v>
                  </c:pt>
                  <c:pt idx="2">
                    <c:v>1.7103837413683782E-2</c:v>
                  </c:pt>
                  <c:pt idx="3">
                    <c:v>1.0291275466482919E-2</c:v>
                  </c:pt>
                </c:numCache>
              </c:numRef>
            </c:plus>
            <c:minus>
              <c:numRef>
                <c:f>(Summary!$C$59,Summary!$E$59,Summary!$G$59,Summary!$I$59)</c:f>
                <c:numCache>
                  <c:formatCode>General</c:formatCode>
                  <c:ptCount val="4"/>
                  <c:pt idx="0">
                    <c:v>1.2798949303193511E-2</c:v>
                  </c:pt>
                  <c:pt idx="1">
                    <c:v>9.3261490520822176E-3</c:v>
                  </c:pt>
                  <c:pt idx="2">
                    <c:v>1.7103837413683782E-2</c:v>
                  </c:pt>
                  <c:pt idx="3">
                    <c:v>1.0291275466482919E-2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(Summary!$B$2,Summary!$D$2,Summary!$F$2,Summary!$H$2)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(Summary!$B$59,Summary!$D$59,Summary!$F$59,Summary!$H$59)</c:f>
              <c:numCache>
                <c:formatCode>0.0000</c:formatCode>
                <c:ptCount val="4"/>
                <c:pt idx="0">
                  <c:v>6.8149546536168032E-2</c:v>
                </c:pt>
                <c:pt idx="1">
                  <c:v>7.5771440848002178E-2</c:v>
                </c:pt>
                <c:pt idx="2">
                  <c:v>8.4985725939782153E-2</c:v>
                </c:pt>
                <c:pt idx="3">
                  <c:v>8.9730112715694088E-2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90-4BAD-B621-2FC84E9F9242}"/>
            </c:ext>
          </c:extLst>
        </c:ser>
        <c:ser>
          <c:idx val="2"/>
          <c:order val="2"/>
          <c:tx>
            <c:strRef>
              <c:f>Summary!$A$60</c:f>
              <c:strCache>
                <c:ptCount val="1"/>
                <c:pt idx="0">
                  <c:v>Frutafit IQ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(Summary!$C$60,Summary!$E$60,Summary!$G$60,Summary!$I$60)</c:f>
                <c:numCache>
                  <c:formatCode>General</c:formatCode>
                  <c:ptCount val="4"/>
                  <c:pt idx="0">
                    <c:v>1.2798949303193511E-2</c:v>
                  </c:pt>
                  <c:pt idx="1">
                    <c:v>4.086341575827046E-2</c:v>
                  </c:pt>
                  <c:pt idx="2">
                    <c:v>6.4863975167015919E-2</c:v>
                  </c:pt>
                  <c:pt idx="3">
                    <c:v>5.3145925762093961E-2</c:v>
                  </c:pt>
                </c:numCache>
              </c:numRef>
            </c:plus>
            <c:minus>
              <c:numRef>
                <c:f>(Summary!$C$60,Summary!$E$60,Summary!$G$60,Summary!$I$60)</c:f>
                <c:numCache>
                  <c:formatCode>General</c:formatCode>
                  <c:ptCount val="4"/>
                  <c:pt idx="0">
                    <c:v>1.2798949303193511E-2</c:v>
                  </c:pt>
                  <c:pt idx="1">
                    <c:v>4.086341575827046E-2</c:v>
                  </c:pt>
                  <c:pt idx="2">
                    <c:v>6.4863975167015919E-2</c:v>
                  </c:pt>
                  <c:pt idx="3">
                    <c:v>5.3145925762093961E-2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(Summary!$B$60,Summary!$D$60,Summary!$F$60,Summary!$H$60)</c:f>
              <c:numCache>
                <c:formatCode>0.0000</c:formatCode>
                <c:ptCount val="4"/>
                <c:pt idx="0">
                  <c:v>6.8149546536168032E-2</c:v>
                </c:pt>
                <c:pt idx="1">
                  <c:v>0.10541198285572635</c:v>
                </c:pt>
                <c:pt idx="2">
                  <c:v>0.11972159378710825</c:v>
                </c:pt>
                <c:pt idx="3">
                  <c:v>0.15977594312832794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13-4D3E-BA08-20D22EF36CC3}"/>
            </c:ext>
          </c:extLst>
        </c:ser>
        <c:ser>
          <c:idx val="3"/>
          <c:order val="3"/>
          <c:tx>
            <c:strRef>
              <c:f>Summary!$A$61</c:f>
              <c:strCache>
                <c:ptCount val="1"/>
                <c:pt idx="0">
                  <c:v>Mangaba Pulp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(Summary!$C$61,Summary!$E$61,Summary!$G$61,Summary!$I$61)</c:f>
                <c:numCache>
                  <c:formatCode>General</c:formatCode>
                  <c:ptCount val="4"/>
                  <c:pt idx="0">
                    <c:v>1.2798949303193511E-2</c:v>
                  </c:pt>
                  <c:pt idx="1">
                    <c:v>1.9337495085176772E-2</c:v>
                  </c:pt>
                  <c:pt idx="2">
                    <c:v>6.249970745327766E-2</c:v>
                  </c:pt>
                  <c:pt idx="3">
                    <c:v>7.7303903553977621E-2</c:v>
                  </c:pt>
                </c:numCache>
              </c:numRef>
            </c:plus>
            <c:minus>
              <c:numRef>
                <c:f>(Summary!$C$61,Summary!$E$61,Summary!$G$61,Summary!$I$61)</c:f>
                <c:numCache>
                  <c:formatCode>General</c:formatCode>
                  <c:ptCount val="4"/>
                  <c:pt idx="0">
                    <c:v>1.2798949303193511E-2</c:v>
                  </c:pt>
                  <c:pt idx="1">
                    <c:v>1.9337495085176772E-2</c:v>
                  </c:pt>
                  <c:pt idx="2">
                    <c:v>6.249970745327766E-2</c:v>
                  </c:pt>
                  <c:pt idx="3">
                    <c:v>7.7303903553977621E-2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(Summary!$B$61,Summary!$D$61,Summary!$F$61,Summary!$H$61)</c:f>
              <c:numCache>
                <c:formatCode>0.0000</c:formatCode>
                <c:ptCount val="4"/>
                <c:pt idx="0">
                  <c:v>6.8149546536168032E-2</c:v>
                </c:pt>
                <c:pt idx="1">
                  <c:v>0.11719605133441187</c:v>
                </c:pt>
                <c:pt idx="2">
                  <c:v>0.20011992959779609</c:v>
                </c:pt>
                <c:pt idx="3">
                  <c:v>0.21934978088963158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13-4D3E-BA08-20D22EF36CC3}"/>
            </c:ext>
          </c:extLst>
        </c:ser>
        <c:ser>
          <c:idx val="4"/>
          <c:order val="4"/>
          <c:tx>
            <c:strRef>
              <c:f>Summary!$A$62</c:f>
              <c:strCache>
                <c:ptCount val="1"/>
                <c:pt idx="0">
                  <c:v>Mangaba extract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(Summary!$C$62,Summary!$E$62,Summary!$G$62,Summary!$I$62)</c:f>
                <c:numCache>
                  <c:formatCode>General</c:formatCode>
                  <c:ptCount val="4"/>
                  <c:pt idx="0">
                    <c:v>1.2798949303193511E-2</c:v>
                  </c:pt>
                  <c:pt idx="1">
                    <c:v>1.7985260067232074E-2</c:v>
                  </c:pt>
                  <c:pt idx="2">
                    <c:v>4.6014434385545248E-2</c:v>
                  </c:pt>
                  <c:pt idx="3">
                    <c:v>8.0133123565884784E-2</c:v>
                  </c:pt>
                </c:numCache>
              </c:numRef>
            </c:plus>
            <c:minus>
              <c:numRef>
                <c:f>(Summary!$C$62,Summary!$E$62,Summary!$G$62,Summary!$I$62)</c:f>
                <c:numCache>
                  <c:formatCode>General</c:formatCode>
                  <c:ptCount val="4"/>
                  <c:pt idx="0">
                    <c:v>1.2798949303193511E-2</c:v>
                  </c:pt>
                  <c:pt idx="1">
                    <c:v>1.7985260067232074E-2</c:v>
                  </c:pt>
                  <c:pt idx="2">
                    <c:v>4.6014434385545248E-2</c:v>
                  </c:pt>
                  <c:pt idx="3">
                    <c:v>8.0133123565884784E-2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(Summary!$B$62,Summary!$D$62,Summary!$F$62,Summary!$H$62)</c:f>
              <c:numCache>
                <c:formatCode>0.0000</c:formatCode>
                <c:ptCount val="4"/>
                <c:pt idx="0">
                  <c:v>6.8149546536168032E-2</c:v>
                </c:pt>
                <c:pt idx="1">
                  <c:v>0.12073085742765248</c:v>
                </c:pt>
                <c:pt idx="2">
                  <c:v>0.16744234776024386</c:v>
                </c:pt>
                <c:pt idx="3">
                  <c:v>0.20054095715060627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13-4D3E-BA08-20D22EF36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144592"/>
        <c:axId val="1329145072"/>
      </c:barChart>
      <c:catAx>
        <c:axId val="132914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5072"/>
        <c:crosses val="autoZero"/>
        <c:auto val="1"/>
        <c:lblAlgn val="ctr"/>
        <c:lblOffset val="100"/>
        <c:noMultiLvlLbl val="0"/>
      </c:catAx>
      <c:valAx>
        <c:axId val="1329145072"/>
        <c:scaling>
          <c:orientation val="minMax"/>
          <c:max val="0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4592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N-valeric acid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Summary!$A$4</c:f>
              <c:strCache>
                <c:ptCount val="1"/>
                <c:pt idx="0">
                  <c:v>Negative control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(Summary!$C$67,Summary!$E$67,Summary!$G$67,Summary!$I$67)</c:f>
                <c:numCache>
                  <c:formatCode>General</c:formatCode>
                  <c:ptCount val="4"/>
                  <c:pt idx="0">
                    <c:v>5.4972943434314053E-2</c:v>
                  </c:pt>
                  <c:pt idx="1">
                    <c:v>0.17597985557435747</c:v>
                  </c:pt>
                  <c:pt idx="2">
                    <c:v>0.12357438507161503</c:v>
                  </c:pt>
                  <c:pt idx="3">
                    <c:v>0.36654233615520437</c:v>
                  </c:pt>
                </c:numCache>
              </c:numRef>
            </c:plus>
            <c:minus>
              <c:numRef>
                <c:f>(Summary!$C$67,Summary!$E$67,Summary!$G$67,Summary!$I$67)</c:f>
                <c:numCache>
                  <c:formatCode>General</c:formatCode>
                  <c:ptCount val="4"/>
                  <c:pt idx="0">
                    <c:v>5.4972943434314053E-2</c:v>
                  </c:pt>
                  <c:pt idx="1">
                    <c:v>0.17597985557435747</c:v>
                  </c:pt>
                  <c:pt idx="2">
                    <c:v>0.12357438507161503</c:v>
                  </c:pt>
                  <c:pt idx="3">
                    <c:v>0.36654233615520437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(Summary!$B$2,Summary!$D$2,Summary!$F$2,Summary!$H$2)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(Summary!$B$67,Summary!$D$67,Summary!$F$67,Summary!$H$67)</c:f>
              <c:numCache>
                <c:formatCode>0.0000</c:formatCode>
                <c:ptCount val="4"/>
                <c:pt idx="0">
                  <c:v>0.86518511177011315</c:v>
                </c:pt>
                <c:pt idx="1">
                  <c:v>1.0430112502774476</c:v>
                </c:pt>
                <c:pt idx="2">
                  <c:v>1.3021261879232084</c:v>
                </c:pt>
                <c:pt idx="3">
                  <c:v>1.6037005779058497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1A-431B-AF74-331DD544558B}"/>
            </c:ext>
          </c:extLst>
        </c:ser>
        <c:ser>
          <c:idx val="1"/>
          <c:order val="1"/>
          <c:tx>
            <c:strRef>
              <c:f>Summary!$A$5</c:f>
              <c:strCache>
                <c:ptCount val="1"/>
                <c:pt idx="0">
                  <c:v>Frutalose OFP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(Summary!$C$68,Summary!$E$68,Summary!$G$68,Summary!$I$68)</c:f>
                <c:numCache>
                  <c:formatCode>General</c:formatCode>
                  <c:ptCount val="4"/>
                  <c:pt idx="0">
                    <c:v>5.4972943434314053E-2</c:v>
                  </c:pt>
                  <c:pt idx="1">
                    <c:v>0.52679612993922476</c:v>
                  </c:pt>
                  <c:pt idx="2">
                    <c:v>0.61704475876055453</c:v>
                  </c:pt>
                  <c:pt idx="3">
                    <c:v>0.56920841252982435</c:v>
                  </c:pt>
                </c:numCache>
              </c:numRef>
            </c:plus>
            <c:minus>
              <c:numRef>
                <c:f>(Summary!$C$68,Summary!$E$68,Summary!$G$68,Summary!$I$68)</c:f>
                <c:numCache>
                  <c:formatCode>General</c:formatCode>
                  <c:ptCount val="4"/>
                  <c:pt idx="0">
                    <c:v>5.4972943434314053E-2</c:v>
                  </c:pt>
                  <c:pt idx="1">
                    <c:v>0.52679612993922476</c:v>
                  </c:pt>
                  <c:pt idx="2">
                    <c:v>0.61704475876055453</c:v>
                  </c:pt>
                  <c:pt idx="3">
                    <c:v>0.56920841252982435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(Summary!$B$2,Summary!$D$2,Summary!$F$2,Summary!$H$2)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(Summary!$B$68,Summary!$D$68,Summary!$F$68,Summary!$H$68)</c:f>
              <c:numCache>
                <c:formatCode>0.0000</c:formatCode>
                <c:ptCount val="4"/>
                <c:pt idx="0">
                  <c:v>0.86518511177011315</c:v>
                </c:pt>
                <c:pt idx="1">
                  <c:v>1.0239093814592206</c:v>
                </c:pt>
                <c:pt idx="2">
                  <c:v>1.1307360904684489</c:v>
                </c:pt>
                <c:pt idx="3">
                  <c:v>1.078693424872307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1A-431B-AF74-331DD544558B}"/>
            </c:ext>
          </c:extLst>
        </c:ser>
        <c:ser>
          <c:idx val="2"/>
          <c:order val="2"/>
          <c:tx>
            <c:strRef>
              <c:f>Summary!$A$69</c:f>
              <c:strCache>
                <c:ptCount val="1"/>
                <c:pt idx="0">
                  <c:v>Frutafit IQ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(Summary!$C$69,Summary!$E$69,Summary!$G$69,Summary!$I$69)</c:f>
                <c:numCache>
                  <c:formatCode>General</c:formatCode>
                  <c:ptCount val="4"/>
                  <c:pt idx="0">
                    <c:v>5.4972943434314053E-2</c:v>
                  </c:pt>
                  <c:pt idx="1">
                    <c:v>5.9508670600376491E-2</c:v>
                  </c:pt>
                  <c:pt idx="2">
                    <c:v>8.7358229541645224E-2</c:v>
                  </c:pt>
                  <c:pt idx="3">
                    <c:v>0.39313163435768284</c:v>
                  </c:pt>
                </c:numCache>
              </c:numRef>
            </c:plus>
            <c:minus>
              <c:numRef>
                <c:f>(Summary!$C$69,Summary!$E$69,Summary!$G$69,Summary!$I$69)</c:f>
                <c:numCache>
                  <c:formatCode>General</c:formatCode>
                  <c:ptCount val="4"/>
                  <c:pt idx="0">
                    <c:v>5.4972943434314053E-2</c:v>
                  </c:pt>
                  <c:pt idx="1">
                    <c:v>5.9508670600376491E-2</c:v>
                  </c:pt>
                  <c:pt idx="2">
                    <c:v>8.7358229541645224E-2</c:v>
                  </c:pt>
                  <c:pt idx="3">
                    <c:v>0.39313163435768284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(Summary!$B$69,Summary!$D$69,Summary!$F$69,Summary!$H$69)</c:f>
              <c:numCache>
                <c:formatCode>0.0000</c:formatCode>
                <c:ptCount val="4"/>
                <c:pt idx="0">
                  <c:v>0.86518511177011315</c:v>
                </c:pt>
                <c:pt idx="1">
                  <c:v>1.146508840345922</c:v>
                </c:pt>
                <c:pt idx="2">
                  <c:v>1.1886964575079104</c:v>
                </c:pt>
                <c:pt idx="3">
                  <c:v>1.5033276124431518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EE-4CEF-830A-4BD44AF6D537}"/>
            </c:ext>
          </c:extLst>
        </c:ser>
        <c:ser>
          <c:idx val="3"/>
          <c:order val="3"/>
          <c:tx>
            <c:strRef>
              <c:f>Summary!$A$70</c:f>
              <c:strCache>
                <c:ptCount val="1"/>
                <c:pt idx="0">
                  <c:v>Mangaba Pulp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(Summary!$C$70,Summary!$E$70,Summary!$G$70,Summary!$I$70)</c:f>
                <c:numCache>
                  <c:formatCode>General</c:formatCode>
                  <c:ptCount val="4"/>
                  <c:pt idx="0">
                    <c:v>5.4972943434314053E-2</c:v>
                  </c:pt>
                  <c:pt idx="1">
                    <c:v>8.1624142155264978E-2</c:v>
                  </c:pt>
                  <c:pt idx="2">
                    <c:v>0.21114463595059368</c:v>
                  </c:pt>
                  <c:pt idx="3">
                    <c:v>0.13250633453063926</c:v>
                  </c:pt>
                </c:numCache>
              </c:numRef>
            </c:plus>
            <c:minus>
              <c:numRef>
                <c:f>(Summary!$C$70,Summary!$E$70,Summary!$G$70,Summary!$I$70)</c:f>
                <c:numCache>
                  <c:formatCode>General</c:formatCode>
                  <c:ptCount val="4"/>
                  <c:pt idx="0">
                    <c:v>5.4972943434314053E-2</c:v>
                  </c:pt>
                  <c:pt idx="1">
                    <c:v>8.1624142155264978E-2</c:v>
                  </c:pt>
                  <c:pt idx="2">
                    <c:v>0.21114463595059368</c:v>
                  </c:pt>
                  <c:pt idx="3">
                    <c:v>0.13250633453063926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(Summary!$B$70,Summary!$D$70,Summary!$F$70,Summary!$H$70)</c:f>
              <c:numCache>
                <c:formatCode>0.0000</c:formatCode>
                <c:ptCount val="4"/>
                <c:pt idx="0">
                  <c:v>0.86518511177011315</c:v>
                </c:pt>
                <c:pt idx="1">
                  <c:v>1.0473403697204069</c:v>
                </c:pt>
                <c:pt idx="2">
                  <c:v>1.2414332955512486</c:v>
                </c:pt>
                <c:pt idx="3">
                  <c:v>1.1042094701356304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EE-4CEF-830A-4BD44AF6D537}"/>
            </c:ext>
          </c:extLst>
        </c:ser>
        <c:ser>
          <c:idx val="4"/>
          <c:order val="4"/>
          <c:tx>
            <c:strRef>
              <c:f>Summary!$A$71</c:f>
              <c:strCache>
                <c:ptCount val="1"/>
                <c:pt idx="0">
                  <c:v>Mangaba extract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(Summary!$C$71,Summary!$E$71,Summary!$G$71,Summary!$I$71)</c:f>
                <c:numCache>
                  <c:formatCode>General</c:formatCode>
                  <c:ptCount val="4"/>
                  <c:pt idx="0">
                    <c:v>5.4972943434314053E-2</c:v>
                  </c:pt>
                  <c:pt idx="1">
                    <c:v>6.6528255581700155E-2</c:v>
                  </c:pt>
                  <c:pt idx="2">
                    <c:v>0.11344652347081202</c:v>
                  </c:pt>
                  <c:pt idx="3">
                    <c:v>6.0387769116633953E-2</c:v>
                  </c:pt>
                </c:numCache>
              </c:numRef>
            </c:plus>
            <c:minus>
              <c:numRef>
                <c:f>(Summary!$C$71,Summary!$E$71,Summary!$G$71,Summary!$I$71)</c:f>
                <c:numCache>
                  <c:formatCode>General</c:formatCode>
                  <c:ptCount val="4"/>
                  <c:pt idx="0">
                    <c:v>5.4972943434314053E-2</c:v>
                  </c:pt>
                  <c:pt idx="1">
                    <c:v>6.6528255581700155E-2</c:v>
                  </c:pt>
                  <c:pt idx="2">
                    <c:v>0.11344652347081202</c:v>
                  </c:pt>
                  <c:pt idx="3">
                    <c:v>6.0387769116633953E-2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(Summary!$B$71,Summary!$D$71,Summary!$F$71,Summary!$H$71)</c:f>
              <c:numCache>
                <c:formatCode>0.0000</c:formatCode>
                <c:ptCount val="4"/>
                <c:pt idx="0">
                  <c:v>0.86518511177011315</c:v>
                </c:pt>
                <c:pt idx="1">
                  <c:v>1.0899209379952375</c:v>
                </c:pt>
                <c:pt idx="2">
                  <c:v>1.2220701138854064</c:v>
                </c:pt>
                <c:pt idx="3">
                  <c:v>1.1415471937588069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EE-4CEF-830A-4BD44AF6D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144592"/>
        <c:axId val="1329145072"/>
      </c:barChart>
      <c:catAx>
        <c:axId val="132914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5072"/>
        <c:crosses val="autoZero"/>
        <c:auto val="1"/>
        <c:lblAlgn val="ctr"/>
        <c:lblOffset val="100"/>
        <c:noMultiLvlLbl val="0"/>
      </c:catAx>
      <c:valAx>
        <c:axId val="1329145072"/>
        <c:scaling>
          <c:orientation val="minMax"/>
          <c:max val="2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459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Iso-caproic acid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Summary!$A$4</c:f>
              <c:strCache>
                <c:ptCount val="1"/>
                <c:pt idx="0">
                  <c:v>Negative control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(Summary!$C$76,Summary!$E$76,Summary!$G$76,Summary!$I$76)</c:f>
                <c:numCache>
                  <c:formatCode>General</c:formatCode>
                  <c:ptCount val="4"/>
                  <c:pt idx="0">
                    <c:v>5.6218604029619618E-3</c:v>
                  </c:pt>
                  <c:pt idx="1">
                    <c:v>4.9392123120981506E-2</c:v>
                  </c:pt>
                  <c:pt idx="2">
                    <c:v>3.414057941967235E-2</c:v>
                  </c:pt>
                  <c:pt idx="3">
                    <c:v>6.502526700924996E-2</c:v>
                  </c:pt>
                </c:numCache>
              </c:numRef>
            </c:plus>
            <c:minus>
              <c:numRef>
                <c:f>(Summary!$C$76,Summary!$E$76,Summary!$G$76,Summary!$I$76)</c:f>
                <c:numCache>
                  <c:formatCode>General</c:formatCode>
                  <c:ptCount val="4"/>
                  <c:pt idx="0">
                    <c:v>5.6218604029619618E-3</c:v>
                  </c:pt>
                  <c:pt idx="1">
                    <c:v>4.9392123120981506E-2</c:v>
                  </c:pt>
                  <c:pt idx="2">
                    <c:v>3.414057941967235E-2</c:v>
                  </c:pt>
                  <c:pt idx="3">
                    <c:v>6.502526700924996E-2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(Summary!$B$2,Summary!$D$2,Summary!$F$2,Summary!$H$2)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(Summary!$B$76,Summary!$D$76,Summary!$F$76,Summary!$H$76)</c:f>
              <c:numCache>
                <c:formatCode>0.0000</c:formatCode>
                <c:ptCount val="4"/>
                <c:pt idx="0">
                  <c:v>2.9059263980784178E-2</c:v>
                </c:pt>
                <c:pt idx="1">
                  <c:v>0.14882025848209418</c:v>
                </c:pt>
                <c:pt idx="2">
                  <c:v>0.15167514357952541</c:v>
                </c:pt>
                <c:pt idx="3">
                  <c:v>0.18122780807871172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55-40E9-B1C2-979F1847F70E}"/>
            </c:ext>
          </c:extLst>
        </c:ser>
        <c:ser>
          <c:idx val="1"/>
          <c:order val="1"/>
          <c:tx>
            <c:strRef>
              <c:f>Summary!$A$77</c:f>
              <c:strCache>
                <c:ptCount val="1"/>
                <c:pt idx="0">
                  <c:v>Frutalose OFP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(Summary!$C$77,Summary!$E$77,Summary!$G$77,Summary!$I$77)</c:f>
                <c:numCache>
                  <c:formatCode>General</c:formatCode>
                  <c:ptCount val="4"/>
                  <c:pt idx="0">
                    <c:v>5.6218604029619618E-3</c:v>
                  </c:pt>
                  <c:pt idx="1">
                    <c:v>6.3728807743380883E-2</c:v>
                  </c:pt>
                  <c:pt idx="2">
                    <c:v>2.572320283111507E-2</c:v>
                  </c:pt>
                  <c:pt idx="3">
                    <c:v>4.6047073228233246E-2</c:v>
                  </c:pt>
                </c:numCache>
              </c:numRef>
            </c:plus>
            <c:minus>
              <c:numRef>
                <c:f>(Summary!$C$77,Summary!$E$77,Summary!$G$77,Summary!$I$77)</c:f>
                <c:numCache>
                  <c:formatCode>General</c:formatCode>
                  <c:ptCount val="4"/>
                  <c:pt idx="0">
                    <c:v>5.6218604029619618E-3</c:v>
                  </c:pt>
                  <c:pt idx="1">
                    <c:v>6.3728807743380883E-2</c:v>
                  </c:pt>
                  <c:pt idx="2">
                    <c:v>2.572320283111507E-2</c:v>
                  </c:pt>
                  <c:pt idx="3">
                    <c:v>4.6047073228233246E-2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(Summary!$B$2,Summary!$D$2,Summary!$F$2,Summary!$H$2)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(Summary!$B$77,Summary!$D$77,Summary!$F$77,Summary!$H$77)</c:f>
              <c:numCache>
                <c:formatCode>0.0000</c:formatCode>
                <c:ptCount val="4"/>
                <c:pt idx="0">
                  <c:v>2.9059263980784178E-2</c:v>
                </c:pt>
                <c:pt idx="1">
                  <c:v>0.12297677885180072</c:v>
                </c:pt>
                <c:pt idx="2">
                  <c:v>4.1676273098186709E-2</c:v>
                </c:pt>
                <c:pt idx="3">
                  <c:v>5.3482138397341172E-2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55-40E9-B1C2-979F1847F70E}"/>
            </c:ext>
          </c:extLst>
        </c:ser>
        <c:ser>
          <c:idx val="2"/>
          <c:order val="2"/>
          <c:tx>
            <c:strRef>
              <c:f>Summary!$A$87</c:f>
              <c:strCache>
                <c:ptCount val="1"/>
                <c:pt idx="0">
                  <c:v>Frutafit IQ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(Summary!$C$78,Summary!$E$78,Summary!$G$78,Summary!$I$78)</c:f>
                <c:numCache>
                  <c:formatCode>General</c:formatCode>
                  <c:ptCount val="4"/>
                  <c:pt idx="0">
                    <c:v>5.6218604029619618E-3</c:v>
                  </c:pt>
                  <c:pt idx="1">
                    <c:v>1.8592126308436339E-2</c:v>
                  </c:pt>
                  <c:pt idx="2">
                    <c:v>2.2647903245809956E-2</c:v>
                  </c:pt>
                  <c:pt idx="3">
                    <c:v>2.7651872919480704E-2</c:v>
                  </c:pt>
                </c:numCache>
              </c:numRef>
            </c:plus>
            <c:minus>
              <c:numRef>
                <c:f>(Summary!$C$78,Summary!$E$78,Summary!$G$78,Summary!$I$78)</c:f>
                <c:numCache>
                  <c:formatCode>General</c:formatCode>
                  <c:ptCount val="4"/>
                  <c:pt idx="0">
                    <c:v>5.6218604029619618E-3</c:v>
                  </c:pt>
                  <c:pt idx="1">
                    <c:v>1.8592126308436339E-2</c:v>
                  </c:pt>
                  <c:pt idx="2">
                    <c:v>2.2647903245809956E-2</c:v>
                  </c:pt>
                  <c:pt idx="3">
                    <c:v>2.7651872919480704E-2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(Summary!$B$78,Summary!$D$78,Summary!$F$78,Summary!$H$78)</c:f>
              <c:numCache>
                <c:formatCode>0.0000</c:formatCode>
                <c:ptCount val="4"/>
                <c:pt idx="0">
                  <c:v>2.9059263980784178E-2</c:v>
                </c:pt>
                <c:pt idx="1">
                  <c:v>5.2043442721159058E-2</c:v>
                </c:pt>
                <c:pt idx="2">
                  <c:v>4.3377014544012396E-2</c:v>
                </c:pt>
                <c:pt idx="3">
                  <c:v>6.9244100622842558E-2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6-428E-9AD7-89FDE4F9F71A}"/>
            </c:ext>
          </c:extLst>
        </c:ser>
        <c:ser>
          <c:idx val="3"/>
          <c:order val="3"/>
          <c:tx>
            <c:strRef>
              <c:f>Summary!$A$88</c:f>
              <c:strCache>
                <c:ptCount val="1"/>
                <c:pt idx="0">
                  <c:v>Mangaba Pulp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(Summary!$C$79,Summary!$E$79,Summary!$G$79,Summary!$I$79)</c:f>
                <c:numCache>
                  <c:formatCode>General</c:formatCode>
                  <c:ptCount val="4"/>
                  <c:pt idx="0">
                    <c:v>5.6218604029619618E-3</c:v>
                  </c:pt>
                  <c:pt idx="1">
                    <c:v>1.0584023954372041E-2</c:v>
                  </c:pt>
                  <c:pt idx="2">
                    <c:v>8.0431233360915011E-2</c:v>
                  </c:pt>
                  <c:pt idx="3">
                    <c:v>0.12747742646698826</c:v>
                  </c:pt>
                </c:numCache>
              </c:numRef>
            </c:plus>
            <c:minus>
              <c:numRef>
                <c:f>(Summary!$C$79,Summary!$E$79,Summary!$G$79,Summary!$I$79)</c:f>
                <c:numCache>
                  <c:formatCode>General</c:formatCode>
                  <c:ptCount val="4"/>
                  <c:pt idx="0">
                    <c:v>5.6218604029619618E-3</c:v>
                  </c:pt>
                  <c:pt idx="1">
                    <c:v>1.0584023954372041E-2</c:v>
                  </c:pt>
                  <c:pt idx="2">
                    <c:v>8.0431233360915011E-2</c:v>
                  </c:pt>
                  <c:pt idx="3">
                    <c:v>0.12747742646698826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(Summary!$B$79,Summary!$D$79,Summary!$F$79,Summary!$H$79)</c:f>
              <c:numCache>
                <c:formatCode>0.0000</c:formatCode>
                <c:ptCount val="4"/>
                <c:pt idx="0">
                  <c:v>2.9059263980784178E-2</c:v>
                </c:pt>
                <c:pt idx="1">
                  <c:v>5.520726810738158E-2</c:v>
                </c:pt>
                <c:pt idx="2">
                  <c:v>0.12403334071350831</c:v>
                </c:pt>
                <c:pt idx="3">
                  <c:v>0.14930359488967249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16-428E-9AD7-89FDE4F9F71A}"/>
            </c:ext>
          </c:extLst>
        </c:ser>
        <c:ser>
          <c:idx val="4"/>
          <c:order val="4"/>
          <c:tx>
            <c:strRef>
              <c:f>Summary!$A$89</c:f>
              <c:strCache>
                <c:ptCount val="1"/>
                <c:pt idx="0">
                  <c:v>Mangaba extract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(Summary!$C$80,Summary!$E$80,Summary!$G$80,Summary!$I$80)</c:f>
                <c:numCache>
                  <c:formatCode>General</c:formatCode>
                  <c:ptCount val="4"/>
                  <c:pt idx="0">
                    <c:v>5.6218604029619618E-3</c:v>
                  </c:pt>
                  <c:pt idx="1">
                    <c:v>4.6576315490902929E-3</c:v>
                  </c:pt>
                  <c:pt idx="2">
                    <c:v>0.1010828092641045</c:v>
                  </c:pt>
                  <c:pt idx="3">
                    <c:v>9.4207949922957446E-2</c:v>
                  </c:pt>
                </c:numCache>
              </c:numRef>
            </c:plus>
            <c:minus>
              <c:numRef>
                <c:f>(Summary!$C$80,Summary!$E$80,Summary!$G$80,Summary!$I$80)</c:f>
                <c:numCache>
                  <c:formatCode>General</c:formatCode>
                  <c:ptCount val="4"/>
                  <c:pt idx="0">
                    <c:v>5.6218604029619618E-3</c:v>
                  </c:pt>
                  <c:pt idx="1">
                    <c:v>4.6576315490902929E-3</c:v>
                  </c:pt>
                  <c:pt idx="2">
                    <c:v>0.1010828092641045</c:v>
                  </c:pt>
                  <c:pt idx="3">
                    <c:v>9.4207949922957446E-2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(Summary!$B$80,Summary!$D$80,Summary!$F$80,Summary!$H$80)</c:f>
              <c:numCache>
                <c:formatCode>0.0000</c:formatCode>
                <c:ptCount val="4"/>
                <c:pt idx="0">
                  <c:v>2.9059263980784178E-2</c:v>
                </c:pt>
                <c:pt idx="1">
                  <c:v>4.880264073205056E-2</c:v>
                </c:pt>
                <c:pt idx="2">
                  <c:v>0.11080574666003293</c:v>
                </c:pt>
                <c:pt idx="3">
                  <c:v>0.10556553841574265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16-428E-9AD7-89FDE4F9F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144592"/>
        <c:axId val="1329145072"/>
      </c:barChart>
      <c:catAx>
        <c:axId val="132914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5072"/>
        <c:crosses val="autoZero"/>
        <c:auto val="1"/>
        <c:lblAlgn val="ctr"/>
        <c:lblOffset val="100"/>
        <c:noMultiLvlLbl val="0"/>
      </c:catAx>
      <c:valAx>
        <c:axId val="1329145072"/>
        <c:scaling>
          <c:orientation val="minMax"/>
          <c:max val="0.5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N-caproic acid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Summary!$A$4</c:f>
              <c:strCache>
                <c:ptCount val="1"/>
                <c:pt idx="0">
                  <c:v>Negative control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(Summary!$C$85,Summary!$E$85,Summary!$G$85,Summary!$I$85)</c:f>
                <c:numCache>
                  <c:formatCode>General</c:formatCode>
                  <c:ptCount val="4"/>
                  <c:pt idx="0">
                    <c:v>3.0878967815744637E-3</c:v>
                  </c:pt>
                  <c:pt idx="1">
                    <c:v>6.4861300880627235E-3</c:v>
                  </c:pt>
                  <c:pt idx="2">
                    <c:v>6.3707370355757884E-3</c:v>
                  </c:pt>
                  <c:pt idx="3">
                    <c:v>1.3680709632911013E-2</c:v>
                  </c:pt>
                </c:numCache>
              </c:numRef>
            </c:plus>
            <c:minus>
              <c:numRef>
                <c:f>(Summary!$C$85,Summary!$E$85,Summary!$G$85,Summary!$I$85)</c:f>
                <c:numCache>
                  <c:formatCode>General</c:formatCode>
                  <c:ptCount val="4"/>
                  <c:pt idx="0">
                    <c:v>3.0878967815744637E-3</c:v>
                  </c:pt>
                  <c:pt idx="1">
                    <c:v>6.4861300880627235E-3</c:v>
                  </c:pt>
                  <c:pt idx="2">
                    <c:v>6.3707370355757884E-3</c:v>
                  </c:pt>
                  <c:pt idx="3">
                    <c:v>1.3680709632911013E-2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(Summary!$B$2,Summary!$D$2,Summary!$F$2,Summary!$H$2)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(Summary!$B$85,Summary!$D$85,Summary!$F$85,Summary!$H$85)</c:f>
              <c:numCache>
                <c:formatCode>0.0000</c:formatCode>
                <c:ptCount val="4"/>
                <c:pt idx="0">
                  <c:v>3.6869917753651303E-2</c:v>
                </c:pt>
                <c:pt idx="1">
                  <c:v>4.0134046517452449E-2</c:v>
                </c:pt>
                <c:pt idx="2">
                  <c:v>4.134940633860993E-2</c:v>
                </c:pt>
                <c:pt idx="3">
                  <c:v>4.7879712477734947E-2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0F-4C4E-B4C5-16B41FB020CB}"/>
            </c:ext>
          </c:extLst>
        </c:ser>
        <c:ser>
          <c:idx val="1"/>
          <c:order val="1"/>
          <c:tx>
            <c:strRef>
              <c:f>Summary!$A$5</c:f>
              <c:strCache>
                <c:ptCount val="1"/>
                <c:pt idx="0">
                  <c:v>Frutalose OFP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(Summary!$C$86,Summary!$E$86,Summary!$G$86,Summary!$I$86)</c:f>
                <c:numCache>
                  <c:formatCode>General</c:formatCode>
                  <c:ptCount val="4"/>
                  <c:pt idx="0">
                    <c:v>3.0878967815744637E-3</c:v>
                  </c:pt>
                  <c:pt idx="1">
                    <c:v>7.4398343275797595E-3</c:v>
                  </c:pt>
                  <c:pt idx="2">
                    <c:v>1.0335177380727279E-2</c:v>
                  </c:pt>
                  <c:pt idx="3">
                    <c:v>5.0858013405764169E-3</c:v>
                  </c:pt>
                </c:numCache>
              </c:numRef>
            </c:plus>
            <c:minus>
              <c:numRef>
                <c:f>(Summary!$C$86,Summary!$E$86,Summary!$G$86,Summary!$I$86)</c:f>
                <c:numCache>
                  <c:formatCode>General</c:formatCode>
                  <c:ptCount val="4"/>
                  <c:pt idx="0">
                    <c:v>3.0878967815744637E-3</c:v>
                  </c:pt>
                  <c:pt idx="1">
                    <c:v>7.4398343275797595E-3</c:v>
                  </c:pt>
                  <c:pt idx="2">
                    <c:v>1.0335177380727279E-2</c:v>
                  </c:pt>
                  <c:pt idx="3">
                    <c:v>5.0858013405764169E-3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(Summary!$B$2,Summary!$D$2,Summary!$F$2,Summary!$H$2)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(Summary!$B$86,Summary!$D$86,Summary!$F$86,Summary!$H$86)</c:f>
              <c:numCache>
                <c:formatCode>0.0000</c:formatCode>
                <c:ptCount val="4"/>
                <c:pt idx="0">
                  <c:v>3.6869917753651303E-2</c:v>
                </c:pt>
                <c:pt idx="1">
                  <c:v>4.7339998630975814E-2</c:v>
                </c:pt>
                <c:pt idx="2">
                  <c:v>5.1492843089519867E-2</c:v>
                </c:pt>
                <c:pt idx="3">
                  <c:v>4.4028527827864331E-2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0F-4C4E-B4C5-16B41FB020CB}"/>
            </c:ext>
          </c:extLst>
        </c:ser>
        <c:ser>
          <c:idx val="2"/>
          <c:order val="2"/>
          <c:tx>
            <c:strRef>
              <c:f>Summary!$A$87</c:f>
              <c:strCache>
                <c:ptCount val="1"/>
                <c:pt idx="0">
                  <c:v>Frutafit IQ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(Summary!$C$87,Summary!$E$87,Summary!$G$87,Summary!$I$87)</c:f>
                <c:numCache>
                  <c:formatCode>General</c:formatCode>
                  <c:ptCount val="4"/>
                  <c:pt idx="0">
                    <c:v>3.0878967815744637E-3</c:v>
                  </c:pt>
                  <c:pt idx="1">
                    <c:v>2.8413863056220602E-2</c:v>
                  </c:pt>
                  <c:pt idx="2">
                    <c:v>3.2867291298227221E-2</c:v>
                  </c:pt>
                  <c:pt idx="3">
                    <c:v>0.10482957029347746</c:v>
                  </c:pt>
                </c:numCache>
              </c:numRef>
            </c:plus>
            <c:minus>
              <c:numRef>
                <c:f>(Summary!$C$87,Summary!$E$87,Summary!$G$87,Summary!$I$87)</c:f>
                <c:numCache>
                  <c:formatCode>General</c:formatCode>
                  <c:ptCount val="4"/>
                  <c:pt idx="0">
                    <c:v>3.0878967815744637E-3</c:v>
                  </c:pt>
                  <c:pt idx="1">
                    <c:v>2.8413863056220602E-2</c:v>
                  </c:pt>
                  <c:pt idx="2">
                    <c:v>3.2867291298227221E-2</c:v>
                  </c:pt>
                  <c:pt idx="3">
                    <c:v>0.10482957029347746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(Summary!$B$87,Summary!$D$87,Summary!$F$87,Summary!$H$87)</c:f>
              <c:numCache>
                <c:formatCode>0.0000</c:formatCode>
                <c:ptCount val="4"/>
                <c:pt idx="0">
                  <c:v>3.6869917753651303E-2</c:v>
                </c:pt>
                <c:pt idx="1">
                  <c:v>7.4144690816018752E-2</c:v>
                </c:pt>
                <c:pt idx="2">
                  <c:v>7.8482393184050259E-2</c:v>
                </c:pt>
                <c:pt idx="3">
                  <c:v>0.13936662918975057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13-4A3C-B44C-8C6BFE27DAB8}"/>
            </c:ext>
          </c:extLst>
        </c:ser>
        <c:ser>
          <c:idx val="3"/>
          <c:order val="3"/>
          <c:tx>
            <c:strRef>
              <c:f>Summary!$A$88</c:f>
              <c:strCache>
                <c:ptCount val="1"/>
                <c:pt idx="0">
                  <c:v>Mangaba Pulp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(Summary!$C$88,Summary!$E$88,Summary!$G$88,Summary!$I$88)</c:f>
                <c:numCache>
                  <c:formatCode>General</c:formatCode>
                  <c:ptCount val="4"/>
                  <c:pt idx="0">
                    <c:v>3.0878967815744637E-3</c:v>
                  </c:pt>
                  <c:pt idx="1">
                    <c:v>1.9867410432926162E-2</c:v>
                  </c:pt>
                  <c:pt idx="2">
                    <c:v>3.3209721193369575E-2</c:v>
                  </c:pt>
                  <c:pt idx="3">
                    <c:v>6.1847894417721073E-2</c:v>
                  </c:pt>
                </c:numCache>
              </c:numRef>
            </c:plus>
            <c:minus>
              <c:numRef>
                <c:f>(Summary!$C$88,Summary!$E$88,Summary!$G$88,Summary!$I$88)</c:f>
                <c:numCache>
                  <c:formatCode>General</c:formatCode>
                  <c:ptCount val="4"/>
                  <c:pt idx="0">
                    <c:v>3.0878967815744637E-3</c:v>
                  </c:pt>
                  <c:pt idx="1">
                    <c:v>1.9867410432926162E-2</c:v>
                  </c:pt>
                  <c:pt idx="2">
                    <c:v>3.3209721193369575E-2</c:v>
                  </c:pt>
                  <c:pt idx="3">
                    <c:v>6.1847894417721073E-2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(Summary!$B$88,Summary!$D$88,Summary!$F$88,Summary!$H$88)</c:f>
              <c:numCache>
                <c:formatCode>0.0000</c:formatCode>
                <c:ptCount val="4"/>
                <c:pt idx="0">
                  <c:v>3.6869917753651303E-2</c:v>
                </c:pt>
                <c:pt idx="1">
                  <c:v>0.15047073326722368</c:v>
                </c:pt>
                <c:pt idx="2">
                  <c:v>0.20166133904715436</c:v>
                </c:pt>
                <c:pt idx="3">
                  <c:v>0.18072291741141228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13-4A3C-B44C-8C6BFE27DAB8}"/>
            </c:ext>
          </c:extLst>
        </c:ser>
        <c:ser>
          <c:idx val="4"/>
          <c:order val="4"/>
          <c:tx>
            <c:strRef>
              <c:f>Summary!$A$89</c:f>
              <c:strCache>
                <c:ptCount val="1"/>
                <c:pt idx="0">
                  <c:v>Mangaba extract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(Summary!$C$89,Summary!$E$89,Summary!$G$89,Summary!$I$89)</c:f>
                <c:numCache>
                  <c:formatCode>General</c:formatCode>
                  <c:ptCount val="4"/>
                  <c:pt idx="0">
                    <c:v>3.0878967815744637E-3</c:v>
                  </c:pt>
                  <c:pt idx="1">
                    <c:v>3.8598352742889877E-2</c:v>
                  </c:pt>
                  <c:pt idx="2">
                    <c:v>2.9302494646741013E-2</c:v>
                  </c:pt>
                  <c:pt idx="3">
                    <c:v>4.0218392107613285E-2</c:v>
                  </c:pt>
                </c:numCache>
              </c:numRef>
            </c:plus>
            <c:minus>
              <c:numRef>
                <c:f>(Summary!$C$89,Summary!$E$89,Summary!$G$89,Summary!$I$89)</c:f>
                <c:numCache>
                  <c:formatCode>General</c:formatCode>
                  <c:ptCount val="4"/>
                  <c:pt idx="0">
                    <c:v>3.0878967815744637E-3</c:v>
                  </c:pt>
                  <c:pt idx="1">
                    <c:v>3.8598352742889877E-2</c:v>
                  </c:pt>
                  <c:pt idx="2">
                    <c:v>2.9302494646741013E-2</c:v>
                  </c:pt>
                  <c:pt idx="3">
                    <c:v>4.0218392107613285E-2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(Summary!$B$89,Summary!$D$89,Summary!$F$89,Summary!$H$89)</c:f>
              <c:numCache>
                <c:formatCode>0.0000</c:formatCode>
                <c:ptCount val="4"/>
                <c:pt idx="0">
                  <c:v>3.6869917753651303E-2</c:v>
                </c:pt>
                <c:pt idx="1">
                  <c:v>9.5651001103551792E-2</c:v>
                </c:pt>
                <c:pt idx="2">
                  <c:v>0.13932687867233517</c:v>
                </c:pt>
                <c:pt idx="3">
                  <c:v>0.1287869100348871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13-4A3C-B44C-8C6BFE27D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144592"/>
        <c:axId val="1329145072"/>
      </c:barChart>
      <c:catAx>
        <c:axId val="132914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5072"/>
        <c:crosses val="autoZero"/>
        <c:auto val="1"/>
        <c:lblAlgn val="ctr"/>
        <c:lblOffset val="100"/>
        <c:noMultiLvlLbl val="0"/>
      </c:catAx>
      <c:valAx>
        <c:axId val="1329145072"/>
        <c:scaling>
          <c:orientation val="minMax"/>
          <c:max val="0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4592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Summary!$B$99</c:f>
              <c:strCache>
                <c:ptCount val="1"/>
                <c:pt idx="0">
                  <c:v>Lactic acid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Summary!$C$100:$C$104</c:f>
                <c:numCache>
                  <c:formatCode>General</c:formatCode>
                  <c:ptCount val="5"/>
                  <c:pt idx="0">
                    <c:v>2.7552651779902529E-2</c:v>
                  </c:pt>
                  <c:pt idx="1">
                    <c:v>0.95371974640406221</c:v>
                  </c:pt>
                  <c:pt idx="2">
                    <c:v>1.1014012409192051</c:v>
                  </c:pt>
                  <c:pt idx="3">
                    <c:v>0.97618547296266045</c:v>
                  </c:pt>
                  <c:pt idx="4">
                    <c:v>1.1128195276887636</c:v>
                  </c:pt>
                </c:numCache>
              </c:numRef>
            </c:plus>
            <c:minus>
              <c:numRef>
                <c:f>Summary!$C$100:$C$104</c:f>
                <c:numCache>
                  <c:formatCode>General</c:formatCode>
                  <c:ptCount val="5"/>
                  <c:pt idx="0">
                    <c:v>2.7552651779902529E-2</c:v>
                  </c:pt>
                  <c:pt idx="1">
                    <c:v>0.95371974640406221</c:v>
                  </c:pt>
                  <c:pt idx="2">
                    <c:v>1.1014012409192051</c:v>
                  </c:pt>
                  <c:pt idx="3">
                    <c:v>0.97618547296266045</c:v>
                  </c:pt>
                  <c:pt idx="4">
                    <c:v>1.1128195276887636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Summary!$A$100:$A$104</c:f>
              <c:strCache>
                <c:ptCount val="5"/>
                <c:pt idx="0">
                  <c:v>NC</c:v>
                </c:pt>
                <c:pt idx="1">
                  <c:v>OFP</c:v>
                </c:pt>
                <c:pt idx="2">
                  <c:v>IQ</c:v>
                </c:pt>
                <c:pt idx="3">
                  <c:v>PM</c:v>
                </c:pt>
                <c:pt idx="4">
                  <c:v>EM</c:v>
                </c:pt>
              </c:strCache>
            </c:strRef>
          </c:cat>
          <c:val>
            <c:numRef>
              <c:f>Summary!$B$100:$B$104</c:f>
              <c:numCache>
                <c:formatCode>0.0000</c:formatCode>
                <c:ptCount val="5"/>
                <c:pt idx="0">
                  <c:v>6.7231227768558693E-2</c:v>
                </c:pt>
                <c:pt idx="1">
                  <c:v>2.4170084002420422</c:v>
                </c:pt>
                <c:pt idx="2">
                  <c:v>2.0318276860678832</c:v>
                </c:pt>
                <c:pt idx="3">
                  <c:v>3.304762090613965</c:v>
                </c:pt>
                <c:pt idx="4">
                  <c:v>2.7329133910630263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E-5C4A-A87E-5F57AEFFA70E}"/>
            </c:ext>
          </c:extLst>
        </c:ser>
        <c:ser>
          <c:idx val="1"/>
          <c:order val="1"/>
          <c:tx>
            <c:strRef>
              <c:f>Summary!$D$99</c:f>
              <c:strCache>
                <c:ptCount val="1"/>
                <c:pt idx="0">
                  <c:v>Formic acid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Summary!$E$100:$E$104</c:f>
                <c:numCache>
                  <c:formatCode>General</c:formatCode>
                  <c:ptCount val="5"/>
                  <c:pt idx="0">
                    <c:v>4.2028158533818617E-2</c:v>
                  </c:pt>
                  <c:pt idx="1">
                    <c:v>6.0328652735249046E-2</c:v>
                  </c:pt>
                  <c:pt idx="2">
                    <c:v>2.8215518280556306E-2</c:v>
                  </c:pt>
                  <c:pt idx="3">
                    <c:v>8.9969758218490826E-3</c:v>
                  </c:pt>
                  <c:pt idx="4">
                    <c:v>1.5309024991467697E-2</c:v>
                  </c:pt>
                </c:numCache>
              </c:numRef>
            </c:plus>
            <c:minus>
              <c:numRef>
                <c:f>Summary!$E$100:$E$104</c:f>
                <c:numCache>
                  <c:formatCode>General</c:formatCode>
                  <c:ptCount val="5"/>
                  <c:pt idx="0">
                    <c:v>4.2028158533818617E-2</c:v>
                  </c:pt>
                  <c:pt idx="1">
                    <c:v>6.0328652735249046E-2</c:v>
                  </c:pt>
                  <c:pt idx="2">
                    <c:v>2.8215518280556306E-2</c:v>
                  </c:pt>
                  <c:pt idx="3">
                    <c:v>8.9969758218490826E-3</c:v>
                  </c:pt>
                  <c:pt idx="4">
                    <c:v>1.5309024991467697E-2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Summary!$A$100:$A$104</c:f>
              <c:strCache>
                <c:ptCount val="5"/>
                <c:pt idx="0">
                  <c:v>NC</c:v>
                </c:pt>
                <c:pt idx="1">
                  <c:v>OFP</c:v>
                </c:pt>
                <c:pt idx="2">
                  <c:v>IQ</c:v>
                </c:pt>
                <c:pt idx="3">
                  <c:v>PM</c:v>
                </c:pt>
                <c:pt idx="4">
                  <c:v>EM</c:v>
                </c:pt>
              </c:strCache>
            </c:strRef>
          </c:cat>
          <c:val>
            <c:numRef>
              <c:f>Summary!$D$100:$D$104</c:f>
              <c:numCache>
                <c:formatCode>0.0000</c:formatCode>
                <c:ptCount val="5"/>
                <c:pt idx="0">
                  <c:v>0.10256882239603818</c:v>
                </c:pt>
                <c:pt idx="1">
                  <c:v>0.13976192472950194</c:v>
                </c:pt>
                <c:pt idx="2">
                  <c:v>0.11521772179033136</c:v>
                </c:pt>
                <c:pt idx="3">
                  <c:v>3.7474841133147252E-2</c:v>
                </c:pt>
                <c:pt idx="4">
                  <c:v>2.4690997709840325E-2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1E-5C4A-A87E-5F57AEFFA70E}"/>
            </c:ext>
          </c:extLst>
        </c:ser>
        <c:ser>
          <c:idx val="2"/>
          <c:order val="2"/>
          <c:tx>
            <c:strRef>
              <c:f>Summary!$F$99</c:f>
              <c:strCache>
                <c:ptCount val="1"/>
                <c:pt idx="0">
                  <c:v>Acetic acid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Summary!$G$100:$G$104</c:f>
                <c:numCache>
                  <c:formatCode>General</c:formatCode>
                  <c:ptCount val="5"/>
                  <c:pt idx="0">
                    <c:v>0.1449244311168176</c:v>
                  </c:pt>
                  <c:pt idx="1">
                    <c:v>0.85350771416881077</c:v>
                  </c:pt>
                  <c:pt idx="2">
                    <c:v>0.83517565024632057</c:v>
                  </c:pt>
                  <c:pt idx="3">
                    <c:v>0.60890911360666267</c:v>
                  </c:pt>
                  <c:pt idx="4">
                    <c:v>0.67858496032017956</c:v>
                  </c:pt>
                </c:numCache>
              </c:numRef>
            </c:plus>
            <c:minus>
              <c:numRef>
                <c:f>Summary!$G$100:$G$104</c:f>
                <c:numCache>
                  <c:formatCode>General</c:formatCode>
                  <c:ptCount val="5"/>
                  <c:pt idx="0">
                    <c:v>0.1449244311168176</c:v>
                  </c:pt>
                  <c:pt idx="1">
                    <c:v>0.85350771416881077</c:v>
                  </c:pt>
                  <c:pt idx="2">
                    <c:v>0.83517565024632057</c:v>
                  </c:pt>
                  <c:pt idx="3">
                    <c:v>0.60890911360666267</c:v>
                  </c:pt>
                  <c:pt idx="4">
                    <c:v>0.67858496032017956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Summary!$A$100:$A$104</c:f>
              <c:strCache>
                <c:ptCount val="5"/>
                <c:pt idx="0">
                  <c:v>NC</c:v>
                </c:pt>
                <c:pt idx="1">
                  <c:v>OFP</c:v>
                </c:pt>
                <c:pt idx="2">
                  <c:v>IQ</c:v>
                </c:pt>
                <c:pt idx="3">
                  <c:v>PM</c:v>
                </c:pt>
                <c:pt idx="4">
                  <c:v>EM</c:v>
                </c:pt>
              </c:strCache>
            </c:strRef>
          </c:cat>
          <c:val>
            <c:numRef>
              <c:f>Summary!$F$100:$F$104</c:f>
              <c:numCache>
                <c:formatCode>0.0000</c:formatCode>
                <c:ptCount val="5"/>
                <c:pt idx="0">
                  <c:v>0.49536778266311077</c:v>
                </c:pt>
                <c:pt idx="1">
                  <c:v>1.550247263043401</c:v>
                </c:pt>
                <c:pt idx="2">
                  <c:v>1.1362448175898736</c:v>
                </c:pt>
                <c:pt idx="3">
                  <c:v>1.2151568079727013</c:v>
                </c:pt>
                <c:pt idx="4">
                  <c:v>0.85801565210627917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1E-5C4A-A87E-5F57AEFFA70E}"/>
            </c:ext>
          </c:extLst>
        </c:ser>
        <c:ser>
          <c:idx val="3"/>
          <c:order val="3"/>
          <c:tx>
            <c:strRef>
              <c:f>Summary!$H$99</c:f>
              <c:strCache>
                <c:ptCount val="1"/>
                <c:pt idx="0">
                  <c:v>Propionic acid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Summary!$I$100:$I$104</c:f>
                <c:numCache>
                  <c:formatCode>General</c:formatCode>
                  <c:ptCount val="5"/>
                  <c:pt idx="0">
                    <c:v>2.2446773111110072E-2</c:v>
                  </c:pt>
                  <c:pt idx="1">
                    <c:v>0.28081431684003216</c:v>
                  </c:pt>
                  <c:pt idx="2">
                    <c:v>0.15999999917839491</c:v>
                  </c:pt>
                  <c:pt idx="3">
                    <c:v>0.41091186128061341</c:v>
                  </c:pt>
                  <c:pt idx="4">
                    <c:v>0.32073170643422177</c:v>
                  </c:pt>
                </c:numCache>
              </c:numRef>
            </c:plus>
            <c:minus>
              <c:numRef>
                <c:f>Summary!$I$100:$I$104</c:f>
                <c:numCache>
                  <c:formatCode>General</c:formatCode>
                  <c:ptCount val="5"/>
                  <c:pt idx="0">
                    <c:v>2.2446773111110072E-2</c:v>
                  </c:pt>
                  <c:pt idx="1">
                    <c:v>0.28081431684003216</c:v>
                  </c:pt>
                  <c:pt idx="2">
                    <c:v>0.15999999917839491</c:v>
                  </c:pt>
                  <c:pt idx="3">
                    <c:v>0.41091186128061341</c:v>
                  </c:pt>
                  <c:pt idx="4">
                    <c:v>0.32073170643422177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Summary!$A$100:$A$104</c:f>
              <c:strCache>
                <c:ptCount val="5"/>
                <c:pt idx="0">
                  <c:v>NC</c:v>
                </c:pt>
                <c:pt idx="1">
                  <c:v>OFP</c:v>
                </c:pt>
                <c:pt idx="2">
                  <c:v>IQ</c:v>
                </c:pt>
                <c:pt idx="3">
                  <c:v>PM</c:v>
                </c:pt>
                <c:pt idx="4">
                  <c:v>EM</c:v>
                </c:pt>
              </c:strCache>
            </c:strRef>
          </c:cat>
          <c:val>
            <c:numRef>
              <c:f>Summary!$H$100:$H$104</c:f>
              <c:numCache>
                <c:formatCode>0.0000</c:formatCode>
                <c:ptCount val="5"/>
                <c:pt idx="0">
                  <c:v>0.24014006805316077</c:v>
                </c:pt>
                <c:pt idx="1">
                  <c:v>0.70094538793939443</c:v>
                </c:pt>
                <c:pt idx="2">
                  <c:v>0.72075807335207953</c:v>
                </c:pt>
                <c:pt idx="3">
                  <c:v>0.79729426977573337</c:v>
                </c:pt>
                <c:pt idx="4">
                  <c:v>0.51922755068284332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1E-5C4A-A87E-5F57AEFFA70E}"/>
            </c:ext>
          </c:extLst>
        </c:ser>
        <c:ser>
          <c:idx val="4"/>
          <c:order val="4"/>
          <c:tx>
            <c:strRef>
              <c:f>Summary!$J$99</c:f>
              <c:strCache>
                <c:ptCount val="1"/>
                <c:pt idx="0">
                  <c:v>Iso-butyric acid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Summary!$K$100:$K$104</c:f>
                <c:numCache>
                  <c:formatCode>General</c:formatCode>
                  <c:ptCount val="5"/>
                  <c:pt idx="0">
                    <c:v>1.0689919699588197E-2</c:v>
                  </c:pt>
                  <c:pt idx="1">
                    <c:v>9.1615036348265365E-3</c:v>
                  </c:pt>
                  <c:pt idx="2">
                    <c:v>1.8962988661815398E-2</c:v>
                  </c:pt>
                  <c:pt idx="3">
                    <c:v>2.6491528624529026E-2</c:v>
                  </c:pt>
                  <c:pt idx="4">
                    <c:v>3.8277459769154018E-2</c:v>
                  </c:pt>
                </c:numCache>
              </c:numRef>
            </c:plus>
            <c:minus>
              <c:numRef>
                <c:f>Summary!$K$100:$K$104</c:f>
                <c:numCache>
                  <c:formatCode>General</c:formatCode>
                  <c:ptCount val="5"/>
                  <c:pt idx="0">
                    <c:v>1.0689919699588197E-2</c:v>
                  </c:pt>
                  <c:pt idx="1">
                    <c:v>9.1615036348265365E-3</c:v>
                  </c:pt>
                  <c:pt idx="2">
                    <c:v>1.8962988661815398E-2</c:v>
                  </c:pt>
                  <c:pt idx="3">
                    <c:v>2.6491528624529026E-2</c:v>
                  </c:pt>
                  <c:pt idx="4">
                    <c:v>3.8277459769154018E-2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Summary!$A$100:$A$104</c:f>
              <c:strCache>
                <c:ptCount val="5"/>
                <c:pt idx="0">
                  <c:v>NC</c:v>
                </c:pt>
                <c:pt idx="1">
                  <c:v>OFP</c:v>
                </c:pt>
                <c:pt idx="2">
                  <c:v>IQ</c:v>
                </c:pt>
                <c:pt idx="3">
                  <c:v>PM</c:v>
                </c:pt>
                <c:pt idx="4">
                  <c:v>EM</c:v>
                </c:pt>
              </c:strCache>
            </c:strRef>
          </c:cat>
          <c:val>
            <c:numRef>
              <c:f>Summary!$J$100:$J$104</c:f>
              <c:numCache>
                <c:formatCode>0.0000</c:formatCode>
                <c:ptCount val="5"/>
                <c:pt idx="0">
                  <c:v>7.4298726117030339E-2</c:v>
                </c:pt>
                <c:pt idx="1">
                  <c:v>4.3241813552860588E-2</c:v>
                </c:pt>
                <c:pt idx="2">
                  <c:v>4.1215644312078706E-2</c:v>
                </c:pt>
                <c:pt idx="3">
                  <c:v>8.5537312119722098E-2</c:v>
                </c:pt>
                <c:pt idx="4">
                  <c:v>5.8085520029901597E-2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1E-5C4A-A87E-5F57AEFFA70E}"/>
            </c:ext>
          </c:extLst>
        </c:ser>
        <c:ser>
          <c:idx val="5"/>
          <c:order val="5"/>
          <c:tx>
            <c:strRef>
              <c:f>Summary!$L$99</c:f>
              <c:strCache>
                <c:ptCount val="1"/>
                <c:pt idx="0">
                  <c:v>N-butyric acid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Summary!$M$100:$M$104</c:f>
                <c:numCache>
                  <c:formatCode>General</c:formatCode>
                  <c:ptCount val="5"/>
                  <c:pt idx="0">
                    <c:v>5.9397492396988411E-2</c:v>
                  </c:pt>
                  <c:pt idx="1">
                    <c:v>0.17486447332979677</c:v>
                  </c:pt>
                  <c:pt idx="2">
                    <c:v>0.16308293748630137</c:v>
                  </c:pt>
                  <c:pt idx="3">
                    <c:v>6.0086503373745492E-2</c:v>
                  </c:pt>
                  <c:pt idx="4">
                    <c:v>4.633452647405216E-2</c:v>
                  </c:pt>
                </c:numCache>
              </c:numRef>
            </c:plus>
            <c:minus>
              <c:numRef>
                <c:f>Summary!$M$100:$M$104</c:f>
                <c:numCache>
                  <c:formatCode>General</c:formatCode>
                  <c:ptCount val="5"/>
                  <c:pt idx="0">
                    <c:v>5.9397492396988411E-2</c:v>
                  </c:pt>
                  <c:pt idx="1">
                    <c:v>0.17486447332979677</c:v>
                  </c:pt>
                  <c:pt idx="2">
                    <c:v>0.16308293748630137</c:v>
                  </c:pt>
                  <c:pt idx="3">
                    <c:v>6.0086503373745492E-2</c:v>
                  </c:pt>
                  <c:pt idx="4">
                    <c:v>4.633452647405216E-2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Summary!$A$100:$A$104</c:f>
              <c:strCache>
                <c:ptCount val="5"/>
                <c:pt idx="0">
                  <c:v>NC</c:v>
                </c:pt>
                <c:pt idx="1">
                  <c:v>OFP</c:v>
                </c:pt>
                <c:pt idx="2">
                  <c:v>IQ</c:v>
                </c:pt>
                <c:pt idx="3">
                  <c:v>PM</c:v>
                </c:pt>
                <c:pt idx="4">
                  <c:v>EM</c:v>
                </c:pt>
              </c:strCache>
            </c:strRef>
          </c:cat>
          <c:val>
            <c:numRef>
              <c:f>Summary!$L$100:$L$104</c:f>
              <c:numCache>
                <c:formatCode>0.0000</c:formatCode>
                <c:ptCount val="5"/>
                <c:pt idx="0">
                  <c:v>0.18656854972795212</c:v>
                </c:pt>
                <c:pt idx="1">
                  <c:v>0.19907442619182777</c:v>
                </c:pt>
                <c:pt idx="2">
                  <c:v>0.19382793880962268</c:v>
                </c:pt>
                <c:pt idx="3">
                  <c:v>0.12851645789894367</c:v>
                </c:pt>
                <c:pt idx="4">
                  <c:v>0.19652280441590514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91E-5C4A-A87E-5F57AEFFA70E}"/>
            </c:ext>
          </c:extLst>
        </c:ser>
        <c:ser>
          <c:idx val="6"/>
          <c:order val="6"/>
          <c:tx>
            <c:strRef>
              <c:f>Summary!$N$99</c:f>
              <c:strCache>
                <c:ptCount val="1"/>
                <c:pt idx="0">
                  <c:v>Iso-valeric acid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Summary!$O$100:$O$104</c:f>
                <c:numCache>
                  <c:formatCode>General</c:formatCode>
                  <c:ptCount val="5"/>
                  <c:pt idx="0">
                    <c:v>2.9293058778220461E-2</c:v>
                  </c:pt>
                  <c:pt idx="1">
                    <c:v>1.7103837413683782E-2</c:v>
                  </c:pt>
                  <c:pt idx="2">
                    <c:v>6.4863975167015919E-2</c:v>
                  </c:pt>
                  <c:pt idx="3">
                    <c:v>6.249970745327766E-2</c:v>
                  </c:pt>
                  <c:pt idx="4">
                    <c:v>4.6014434385545248E-2</c:v>
                  </c:pt>
                </c:numCache>
              </c:numRef>
            </c:plus>
            <c:minus>
              <c:numRef>
                <c:f>Summary!$O$100:$O$104</c:f>
                <c:numCache>
                  <c:formatCode>General</c:formatCode>
                  <c:ptCount val="5"/>
                  <c:pt idx="0">
                    <c:v>2.9293058778220461E-2</c:v>
                  </c:pt>
                  <c:pt idx="1">
                    <c:v>1.7103837413683782E-2</c:v>
                  </c:pt>
                  <c:pt idx="2">
                    <c:v>6.4863975167015919E-2</c:v>
                  </c:pt>
                  <c:pt idx="3">
                    <c:v>6.249970745327766E-2</c:v>
                  </c:pt>
                  <c:pt idx="4">
                    <c:v>4.6014434385545248E-2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Summary!$A$100:$A$104</c:f>
              <c:strCache>
                <c:ptCount val="5"/>
                <c:pt idx="0">
                  <c:v>NC</c:v>
                </c:pt>
                <c:pt idx="1">
                  <c:v>OFP</c:v>
                </c:pt>
                <c:pt idx="2">
                  <c:v>IQ</c:v>
                </c:pt>
                <c:pt idx="3">
                  <c:v>PM</c:v>
                </c:pt>
                <c:pt idx="4">
                  <c:v>EM</c:v>
                </c:pt>
              </c:strCache>
            </c:strRef>
          </c:cat>
          <c:val>
            <c:numRef>
              <c:f>Summary!$N$100:$N$104</c:f>
              <c:numCache>
                <c:formatCode>0.0000</c:formatCode>
                <c:ptCount val="5"/>
                <c:pt idx="0">
                  <c:v>0.1226283626160078</c:v>
                </c:pt>
                <c:pt idx="1">
                  <c:v>8.4985725939782153E-2</c:v>
                </c:pt>
                <c:pt idx="2">
                  <c:v>0.11972159378710825</c:v>
                </c:pt>
                <c:pt idx="3">
                  <c:v>0.20011992959779609</c:v>
                </c:pt>
                <c:pt idx="4">
                  <c:v>0.16744234776024386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91E-5C4A-A87E-5F57AEFFA70E}"/>
            </c:ext>
          </c:extLst>
        </c:ser>
        <c:ser>
          <c:idx val="7"/>
          <c:order val="7"/>
          <c:tx>
            <c:strRef>
              <c:f>Summary!$P$99</c:f>
              <c:strCache>
                <c:ptCount val="1"/>
                <c:pt idx="0">
                  <c:v>N-valeric acid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Summary!$Q$100:$Q$104</c:f>
                <c:numCache>
                  <c:formatCode>General</c:formatCode>
                  <c:ptCount val="5"/>
                  <c:pt idx="0">
                    <c:v>0.12357438507161503</c:v>
                  </c:pt>
                  <c:pt idx="1">
                    <c:v>0.61704475876055453</c:v>
                  </c:pt>
                  <c:pt idx="2">
                    <c:v>8.7358229541645224E-2</c:v>
                  </c:pt>
                  <c:pt idx="3">
                    <c:v>0.21114463595059368</c:v>
                  </c:pt>
                  <c:pt idx="4">
                    <c:v>0.11344652347081202</c:v>
                  </c:pt>
                </c:numCache>
              </c:numRef>
            </c:plus>
            <c:minus>
              <c:numRef>
                <c:f>Summary!$Q$100:$Q$104</c:f>
                <c:numCache>
                  <c:formatCode>General</c:formatCode>
                  <c:ptCount val="5"/>
                  <c:pt idx="0">
                    <c:v>0.12357438507161503</c:v>
                  </c:pt>
                  <c:pt idx="1">
                    <c:v>0.61704475876055453</c:v>
                  </c:pt>
                  <c:pt idx="2">
                    <c:v>8.7358229541645224E-2</c:v>
                  </c:pt>
                  <c:pt idx="3">
                    <c:v>0.21114463595059368</c:v>
                  </c:pt>
                  <c:pt idx="4">
                    <c:v>0.11344652347081202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val>
            <c:numRef>
              <c:f>Summary!$P$100:$P$104</c:f>
              <c:numCache>
                <c:formatCode>0.0000</c:formatCode>
                <c:ptCount val="5"/>
                <c:pt idx="0">
                  <c:v>1.3021261879232084</c:v>
                </c:pt>
                <c:pt idx="1">
                  <c:v>1.1307360904684489</c:v>
                </c:pt>
                <c:pt idx="2">
                  <c:v>1.1886964575079104</c:v>
                </c:pt>
                <c:pt idx="3">
                  <c:v>1.2414332955512486</c:v>
                </c:pt>
                <c:pt idx="4">
                  <c:v>1.2220701138854064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91E-5C4A-A87E-5F57AEFFA70E}"/>
            </c:ext>
          </c:extLst>
        </c:ser>
        <c:ser>
          <c:idx val="8"/>
          <c:order val="8"/>
          <c:tx>
            <c:strRef>
              <c:f>Summary!$R$99</c:f>
              <c:strCache>
                <c:ptCount val="1"/>
                <c:pt idx="0">
                  <c:v>Iso-caproic acid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Summary!$S$100:$S$104</c:f>
                <c:numCache>
                  <c:formatCode>General</c:formatCode>
                  <c:ptCount val="5"/>
                  <c:pt idx="0">
                    <c:v>3.414057941967235E-2</c:v>
                  </c:pt>
                  <c:pt idx="1">
                    <c:v>2.572320283111507E-2</c:v>
                  </c:pt>
                  <c:pt idx="2">
                    <c:v>2.2647903245809956E-2</c:v>
                  </c:pt>
                  <c:pt idx="3">
                    <c:v>8.0431233360915011E-2</c:v>
                  </c:pt>
                  <c:pt idx="4">
                    <c:v>0.1010828092641045</c:v>
                  </c:pt>
                </c:numCache>
              </c:numRef>
            </c:plus>
            <c:minus>
              <c:numRef>
                <c:f>Summary!$S$100:$S$104</c:f>
                <c:numCache>
                  <c:formatCode>General</c:formatCode>
                  <c:ptCount val="5"/>
                  <c:pt idx="0">
                    <c:v>3.414057941967235E-2</c:v>
                  </c:pt>
                  <c:pt idx="1">
                    <c:v>2.572320283111507E-2</c:v>
                  </c:pt>
                  <c:pt idx="2">
                    <c:v>2.2647903245809956E-2</c:v>
                  </c:pt>
                  <c:pt idx="3">
                    <c:v>8.0431233360915011E-2</c:v>
                  </c:pt>
                  <c:pt idx="4">
                    <c:v>0.1010828092641045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val>
            <c:numRef>
              <c:f>Summary!$R$100:$R$104</c:f>
              <c:numCache>
                <c:formatCode>0.0000</c:formatCode>
                <c:ptCount val="5"/>
                <c:pt idx="0">
                  <c:v>0.15167514357952541</c:v>
                </c:pt>
                <c:pt idx="1">
                  <c:v>4.1676273098186709E-2</c:v>
                </c:pt>
                <c:pt idx="2">
                  <c:v>4.3377014544012396E-2</c:v>
                </c:pt>
                <c:pt idx="3">
                  <c:v>0.12403334071350831</c:v>
                </c:pt>
                <c:pt idx="4">
                  <c:v>0.11080574666003293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91E-5C4A-A87E-5F57AEFFA70E}"/>
            </c:ext>
          </c:extLst>
        </c:ser>
        <c:ser>
          <c:idx val="9"/>
          <c:order val="9"/>
          <c:tx>
            <c:strRef>
              <c:f>Summary!$T$99</c:f>
              <c:strCache>
                <c:ptCount val="1"/>
                <c:pt idx="0">
                  <c:v>N-caproic acid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Summary!$U$100:$U$104</c:f>
                <c:numCache>
                  <c:formatCode>General</c:formatCode>
                  <c:ptCount val="5"/>
                  <c:pt idx="0">
                    <c:v>6.3707370355757884E-3</c:v>
                  </c:pt>
                  <c:pt idx="1">
                    <c:v>1.0335177380727279E-2</c:v>
                  </c:pt>
                  <c:pt idx="2">
                    <c:v>3.2867291298227221E-2</c:v>
                  </c:pt>
                  <c:pt idx="3">
                    <c:v>3.3209721193369575E-2</c:v>
                  </c:pt>
                  <c:pt idx="4">
                    <c:v>2.9302494646741013E-2</c:v>
                  </c:pt>
                </c:numCache>
              </c:numRef>
            </c:plus>
            <c:minus>
              <c:numRef>
                <c:f>Summary!$U$100:$U$104</c:f>
                <c:numCache>
                  <c:formatCode>General</c:formatCode>
                  <c:ptCount val="5"/>
                  <c:pt idx="0">
                    <c:v>6.3707370355757884E-3</c:v>
                  </c:pt>
                  <c:pt idx="1">
                    <c:v>1.0335177380727279E-2</c:v>
                  </c:pt>
                  <c:pt idx="2">
                    <c:v>3.2867291298227221E-2</c:v>
                  </c:pt>
                  <c:pt idx="3">
                    <c:v>3.3209721193369575E-2</c:v>
                  </c:pt>
                  <c:pt idx="4">
                    <c:v>2.9302494646741013E-2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val>
            <c:numRef>
              <c:f>Summary!$T$100:$T$104</c:f>
              <c:numCache>
                <c:formatCode>0.0000</c:formatCode>
                <c:ptCount val="5"/>
                <c:pt idx="0">
                  <c:v>4.134940633860993E-2</c:v>
                </c:pt>
                <c:pt idx="1">
                  <c:v>5.1492843089519867E-2</c:v>
                </c:pt>
                <c:pt idx="2">
                  <c:v>7.8482393184050259E-2</c:v>
                </c:pt>
                <c:pt idx="3">
                  <c:v>0.20166133904715436</c:v>
                </c:pt>
                <c:pt idx="4">
                  <c:v>0.13932687867233517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91E-5C4A-A87E-5F57AEFFA70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9144592"/>
        <c:axId val="1329145072"/>
      </c:barChart>
      <c:catAx>
        <c:axId val="132914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5072"/>
        <c:crosses val="autoZero"/>
        <c:auto val="1"/>
        <c:lblAlgn val="ctr"/>
        <c:lblOffset val="100"/>
        <c:noMultiLvlLbl val="0"/>
      </c:catAx>
      <c:valAx>
        <c:axId val="132914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non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cap="none" baseline="0">
                    <a:latin typeface="+mn-lt"/>
                  </a:rPr>
                  <a:t>Concentration (g/L)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non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Summary!$B$99</c:f>
              <c:strCache>
                <c:ptCount val="1"/>
                <c:pt idx="0">
                  <c:v>Lactic acid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Summary!$C$100:$C$104</c:f>
                <c:numCache>
                  <c:formatCode>General</c:formatCode>
                  <c:ptCount val="5"/>
                  <c:pt idx="0">
                    <c:v>2.7552651779902529E-2</c:v>
                  </c:pt>
                  <c:pt idx="1">
                    <c:v>0.95371974640406221</c:v>
                  </c:pt>
                  <c:pt idx="2">
                    <c:v>1.1014012409192051</c:v>
                  </c:pt>
                  <c:pt idx="3">
                    <c:v>0.97618547296266045</c:v>
                  </c:pt>
                  <c:pt idx="4">
                    <c:v>1.1128195276887636</c:v>
                  </c:pt>
                </c:numCache>
              </c:numRef>
            </c:plus>
            <c:minus>
              <c:numRef>
                <c:f>Summary!$C$100:$C$104</c:f>
                <c:numCache>
                  <c:formatCode>General</c:formatCode>
                  <c:ptCount val="5"/>
                  <c:pt idx="0">
                    <c:v>2.7552651779902529E-2</c:v>
                  </c:pt>
                  <c:pt idx="1">
                    <c:v>0.95371974640406221</c:v>
                  </c:pt>
                  <c:pt idx="2">
                    <c:v>1.1014012409192051</c:v>
                  </c:pt>
                  <c:pt idx="3">
                    <c:v>0.97618547296266045</c:v>
                  </c:pt>
                  <c:pt idx="4">
                    <c:v>1.1128195276887636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Summary!$A$100:$A$104</c:f>
              <c:strCache>
                <c:ptCount val="5"/>
                <c:pt idx="0">
                  <c:v>NC</c:v>
                </c:pt>
                <c:pt idx="1">
                  <c:v>OFP</c:v>
                </c:pt>
                <c:pt idx="2">
                  <c:v>IQ</c:v>
                </c:pt>
                <c:pt idx="3">
                  <c:v>PM</c:v>
                </c:pt>
                <c:pt idx="4">
                  <c:v>EM</c:v>
                </c:pt>
              </c:strCache>
            </c:strRef>
          </c:cat>
          <c:val>
            <c:numRef>
              <c:f>Summary!$B$100:$B$104</c:f>
              <c:numCache>
                <c:formatCode>0.0000</c:formatCode>
                <c:ptCount val="5"/>
                <c:pt idx="0">
                  <c:v>6.7231227768558693E-2</c:v>
                </c:pt>
                <c:pt idx="1">
                  <c:v>2.4170084002420422</c:v>
                </c:pt>
                <c:pt idx="2">
                  <c:v>2.0318276860678832</c:v>
                </c:pt>
                <c:pt idx="3">
                  <c:v>3.304762090613965</c:v>
                </c:pt>
                <c:pt idx="4">
                  <c:v>2.7329133910630263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06-AF4F-9671-05781D059C50}"/>
            </c:ext>
          </c:extLst>
        </c:ser>
        <c:ser>
          <c:idx val="2"/>
          <c:order val="1"/>
          <c:tx>
            <c:strRef>
              <c:f>Summary!$F$99</c:f>
              <c:strCache>
                <c:ptCount val="1"/>
                <c:pt idx="0">
                  <c:v>Acetic acid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Summary!$G$100:$G$104</c:f>
                <c:numCache>
                  <c:formatCode>General</c:formatCode>
                  <c:ptCount val="5"/>
                  <c:pt idx="0">
                    <c:v>0.1449244311168176</c:v>
                  </c:pt>
                  <c:pt idx="1">
                    <c:v>0.85350771416881077</c:v>
                  </c:pt>
                  <c:pt idx="2">
                    <c:v>0.83517565024632057</c:v>
                  </c:pt>
                  <c:pt idx="3">
                    <c:v>0.60890911360666267</c:v>
                  </c:pt>
                  <c:pt idx="4">
                    <c:v>0.67858496032017956</c:v>
                  </c:pt>
                </c:numCache>
              </c:numRef>
            </c:plus>
            <c:minus>
              <c:numRef>
                <c:f>Summary!$G$100:$G$104</c:f>
                <c:numCache>
                  <c:formatCode>General</c:formatCode>
                  <c:ptCount val="5"/>
                  <c:pt idx="0">
                    <c:v>0.1449244311168176</c:v>
                  </c:pt>
                  <c:pt idx="1">
                    <c:v>0.85350771416881077</c:v>
                  </c:pt>
                  <c:pt idx="2">
                    <c:v>0.83517565024632057</c:v>
                  </c:pt>
                  <c:pt idx="3">
                    <c:v>0.60890911360666267</c:v>
                  </c:pt>
                  <c:pt idx="4">
                    <c:v>0.67858496032017956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Summary!$A$100:$A$104</c:f>
              <c:strCache>
                <c:ptCount val="5"/>
                <c:pt idx="0">
                  <c:v>NC</c:v>
                </c:pt>
                <c:pt idx="1">
                  <c:v>OFP</c:v>
                </c:pt>
                <c:pt idx="2">
                  <c:v>IQ</c:v>
                </c:pt>
                <c:pt idx="3">
                  <c:v>PM</c:v>
                </c:pt>
                <c:pt idx="4">
                  <c:v>EM</c:v>
                </c:pt>
              </c:strCache>
            </c:strRef>
          </c:cat>
          <c:val>
            <c:numRef>
              <c:f>Summary!$F$100:$F$104</c:f>
              <c:numCache>
                <c:formatCode>0.0000</c:formatCode>
                <c:ptCount val="5"/>
                <c:pt idx="0">
                  <c:v>0.49536778266311077</c:v>
                </c:pt>
                <c:pt idx="1">
                  <c:v>1.550247263043401</c:v>
                </c:pt>
                <c:pt idx="2">
                  <c:v>1.1362448175898736</c:v>
                </c:pt>
                <c:pt idx="3">
                  <c:v>1.2151568079727013</c:v>
                </c:pt>
                <c:pt idx="4">
                  <c:v>0.85801565210627917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06-AF4F-9671-05781D059C50}"/>
            </c:ext>
          </c:extLst>
        </c:ser>
        <c:ser>
          <c:idx val="3"/>
          <c:order val="2"/>
          <c:tx>
            <c:strRef>
              <c:f>Summary!$H$99</c:f>
              <c:strCache>
                <c:ptCount val="1"/>
                <c:pt idx="0">
                  <c:v>Propionic acid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Summary!$I$100:$I$104</c:f>
                <c:numCache>
                  <c:formatCode>General</c:formatCode>
                  <c:ptCount val="5"/>
                  <c:pt idx="0">
                    <c:v>2.2446773111110072E-2</c:v>
                  </c:pt>
                  <c:pt idx="1">
                    <c:v>0.28081431684003216</c:v>
                  </c:pt>
                  <c:pt idx="2">
                    <c:v>0.15999999917839491</c:v>
                  </c:pt>
                  <c:pt idx="3">
                    <c:v>0.41091186128061341</c:v>
                  </c:pt>
                  <c:pt idx="4">
                    <c:v>0.32073170643422177</c:v>
                  </c:pt>
                </c:numCache>
              </c:numRef>
            </c:plus>
            <c:minus>
              <c:numRef>
                <c:f>Summary!$I$100:$I$104</c:f>
                <c:numCache>
                  <c:formatCode>General</c:formatCode>
                  <c:ptCount val="5"/>
                  <c:pt idx="0">
                    <c:v>2.2446773111110072E-2</c:v>
                  </c:pt>
                  <c:pt idx="1">
                    <c:v>0.28081431684003216</c:v>
                  </c:pt>
                  <c:pt idx="2">
                    <c:v>0.15999999917839491</c:v>
                  </c:pt>
                  <c:pt idx="3">
                    <c:v>0.41091186128061341</c:v>
                  </c:pt>
                  <c:pt idx="4">
                    <c:v>0.32073170643422177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Summary!$A$100:$A$104</c:f>
              <c:strCache>
                <c:ptCount val="5"/>
                <c:pt idx="0">
                  <c:v>NC</c:v>
                </c:pt>
                <c:pt idx="1">
                  <c:v>OFP</c:v>
                </c:pt>
                <c:pt idx="2">
                  <c:v>IQ</c:v>
                </c:pt>
                <c:pt idx="3">
                  <c:v>PM</c:v>
                </c:pt>
                <c:pt idx="4">
                  <c:v>EM</c:v>
                </c:pt>
              </c:strCache>
            </c:strRef>
          </c:cat>
          <c:val>
            <c:numRef>
              <c:f>Summary!$H$100:$H$104</c:f>
              <c:numCache>
                <c:formatCode>0.0000</c:formatCode>
                <c:ptCount val="5"/>
                <c:pt idx="0">
                  <c:v>0.24014006805316077</c:v>
                </c:pt>
                <c:pt idx="1">
                  <c:v>0.70094538793939443</c:v>
                </c:pt>
                <c:pt idx="2">
                  <c:v>0.72075807335207953</c:v>
                </c:pt>
                <c:pt idx="3">
                  <c:v>0.79729426977573337</c:v>
                </c:pt>
                <c:pt idx="4">
                  <c:v>0.51922755068284332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06-AF4F-9671-05781D059C50}"/>
            </c:ext>
          </c:extLst>
        </c:ser>
        <c:ser>
          <c:idx val="5"/>
          <c:order val="3"/>
          <c:tx>
            <c:strRef>
              <c:f>Summary!$L$99</c:f>
              <c:strCache>
                <c:ptCount val="1"/>
                <c:pt idx="0">
                  <c:v>N-butyric acid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Summary!$M$100:$M$104</c:f>
                <c:numCache>
                  <c:formatCode>General</c:formatCode>
                  <c:ptCount val="5"/>
                  <c:pt idx="0">
                    <c:v>5.9397492396988411E-2</c:v>
                  </c:pt>
                  <c:pt idx="1">
                    <c:v>0.17486447332979677</c:v>
                  </c:pt>
                  <c:pt idx="2">
                    <c:v>0.16308293748630137</c:v>
                  </c:pt>
                  <c:pt idx="3">
                    <c:v>6.0086503373745492E-2</c:v>
                  </c:pt>
                  <c:pt idx="4">
                    <c:v>4.633452647405216E-2</c:v>
                  </c:pt>
                </c:numCache>
              </c:numRef>
            </c:plus>
            <c:minus>
              <c:numRef>
                <c:f>Summary!$M$100:$M$104</c:f>
                <c:numCache>
                  <c:formatCode>General</c:formatCode>
                  <c:ptCount val="5"/>
                  <c:pt idx="0">
                    <c:v>5.9397492396988411E-2</c:v>
                  </c:pt>
                  <c:pt idx="1">
                    <c:v>0.17486447332979677</c:v>
                  </c:pt>
                  <c:pt idx="2">
                    <c:v>0.16308293748630137</c:v>
                  </c:pt>
                  <c:pt idx="3">
                    <c:v>6.0086503373745492E-2</c:v>
                  </c:pt>
                  <c:pt idx="4">
                    <c:v>4.633452647405216E-2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Summary!$A$100:$A$104</c:f>
              <c:strCache>
                <c:ptCount val="5"/>
                <c:pt idx="0">
                  <c:v>NC</c:v>
                </c:pt>
                <c:pt idx="1">
                  <c:v>OFP</c:v>
                </c:pt>
                <c:pt idx="2">
                  <c:v>IQ</c:v>
                </c:pt>
                <c:pt idx="3">
                  <c:v>PM</c:v>
                </c:pt>
                <c:pt idx="4">
                  <c:v>EM</c:v>
                </c:pt>
              </c:strCache>
            </c:strRef>
          </c:cat>
          <c:val>
            <c:numRef>
              <c:f>Summary!$L$100:$L$104</c:f>
              <c:numCache>
                <c:formatCode>0.0000</c:formatCode>
                <c:ptCount val="5"/>
                <c:pt idx="0">
                  <c:v>0.18656854972795212</c:v>
                </c:pt>
                <c:pt idx="1">
                  <c:v>0.19907442619182777</c:v>
                </c:pt>
                <c:pt idx="2">
                  <c:v>0.19382793880962268</c:v>
                </c:pt>
                <c:pt idx="3">
                  <c:v>0.12851645789894367</c:v>
                </c:pt>
                <c:pt idx="4">
                  <c:v>0.19652280441590514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D06-AF4F-9671-05781D059C50}"/>
            </c:ext>
          </c:extLst>
        </c:ser>
        <c:ser>
          <c:idx val="7"/>
          <c:order val="4"/>
          <c:tx>
            <c:strRef>
              <c:f>Summary!$P$99</c:f>
              <c:strCache>
                <c:ptCount val="1"/>
                <c:pt idx="0">
                  <c:v>N-valeric acid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Summary!$Q$100:$Q$104</c:f>
                <c:numCache>
                  <c:formatCode>General</c:formatCode>
                  <c:ptCount val="5"/>
                  <c:pt idx="0">
                    <c:v>0.12357438507161503</c:v>
                  </c:pt>
                  <c:pt idx="1">
                    <c:v>0.61704475876055453</c:v>
                  </c:pt>
                  <c:pt idx="2">
                    <c:v>8.7358229541645224E-2</c:v>
                  </c:pt>
                  <c:pt idx="3">
                    <c:v>0.21114463595059368</c:v>
                  </c:pt>
                  <c:pt idx="4">
                    <c:v>0.11344652347081202</c:v>
                  </c:pt>
                </c:numCache>
              </c:numRef>
            </c:plus>
            <c:minus>
              <c:numRef>
                <c:f>Summary!$Q$100:$Q$104</c:f>
                <c:numCache>
                  <c:formatCode>General</c:formatCode>
                  <c:ptCount val="5"/>
                  <c:pt idx="0">
                    <c:v>0.12357438507161503</c:v>
                  </c:pt>
                  <c:pt idx="1">
                    <c:v>0.61704475876055453</c:v>
                  </c:pt>
                  <c:pt idx="2">
                    <c:v>8.7358229541645224E-2</c:v>
                  </c:pt>
                  <c:pt idx="3">
                    <c:v>0.21114463595059368</c:v>
                  </c:pt>
                  <c:pt idx="4">
                    <c:v>0.11344652347081202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Summary!$P$100:$P$104</c:f>
              <c:numCache>
                <c:formatCode>0.0000</c:formatCode>
                <c:ptCount val="5"/>
                <c:pt idx="0">
                  <c:v>1.3021261879232084</c:v>
                </c:pt>
                <c:pt idx="1">
                  <c:v>1.1307360904684489</c:v>
                </c:pt>
                <c:pt idx="2">
                  <c:v>1.1886964575079104</c:v>
                </c:pt>
                <c:pt idx="3">
                  <c:v>1.2414332955512486</c:v>
                </c:pt>
                <c:pt idx="4">
                  <c:v>1.2220701138854064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D06-AF4F-9671-05781D059C50}"/>
            </c:ext>
          </c:extLst>
        </c:ser>
        <c:ser>
          <c:idx val="9"/>
          <c:order val="5"/>
          <c:tx>
            <c:strRef>
              <c:f>Summary!$T$99</c:f>
              <c:strCache>
                <c:ptCount val="1"/>
                <c:pt idx="0">
                  <c:v>N-caproic acid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Summary!$U$100:$U$104</c:f>
                <c:numCache>
                  <c:formatCode>General</c:formatCode>
                  <c:ptCount val="5"/>
                  <c:pt idx="0">
                    <c:v>6.3707370355757884E-3</c:v>
                  </c:pt>
                  <c:pt idx="1">
                    <c:v>1.0335177380727279E-2</c:v>
                  </c:pt>
                  <c:pt idx="2">
                    <c:v>3.2867291298227221E-2</c:v>
                  </c:pt>
                  <c:pt idx="3">
                    <c:v>3.3209721193369575E-2</c:v>
                  </c:pt>
                  <c:pt idx="4">
                    <c:v>2.9302494646741013E-2</c:v>
                  </c:pt>
                </c:numCache>
              </c:numRef>
            </c:plus>
            <c:minus>
              <c:numRef>
                <c:f>Summary!$U$100:$U$104</c:f>
                <c:numCache>
                  <c:formatCode>General</c:formatCode>
                  <c:ptCount val="5"/>
                  <c:pt idx="0">
                    <c:v>6.3707370355757884E-3</c:v>
                  </c:pt>
                  <c:pt idx="1">
                    <c:v>1.0335177380727279E-2</c:v>
                  </c:pt>
                  <c:pt idx="2">
                    <c:v>3.2867291298227221E-2</c:v>
                  </c:pt>
                  <c:pt idx="3">
                    <c:v>3.3209721193369575E-2</c:v>
                  </c:pt>
                  <c:pt idx="4">
                    <c:v>2.9302494646741013E-2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Summary!$T$100:$T$104</c:f>
              <c:numCache>
                <c:formatCode>0.0000</c:formatCode>
                <c:ptCount val="5"/>
                <c:pt idx="0">
                  <c:v>4.134940633860993E-2</c:v>
                </c:pt>
                <c:pt idx="1">
                  <c:v>5.1492843089519867E-2</c:v>
                </c:pt>
                <c:pt idx="2">
                  <c:v>7.8482393184050259E-2</c:v>
                </c:pt>
                <c:pt idx="3">
                  <c:v>0.20166133904715436</c:v>
                </c:pt>
                <c:pt idx="4">
                  <c:v>0.13932687867233517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D06-AF4F-9671-05781D059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144592"/>
        <c:axId val="1329145072"/>
      </c:barChart>
      <c:catAx>
        <c:axId val="132914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5072"/>
        <c:crosses val="autoZero"/>
        <c:auto val="1"/>
        <c:lblAlgn val="ctr"/>
        <c:lblOffset val="100"/>
        <c:noMultiLvlLbl val="0"/>
      </c:catAx>
      <c:valAx>
        <c:axId val="132914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Lactic acid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(sem E)'!$A$4</c:f>
              <c:strCache>
                <c:ptCount val="1"/>
                <c:pt idx="0">
                  <c:v>Negative control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('Summary (sem E)'!$C$4,'Summary (sem E)'!$E$4,'Summary (sem E)'!$G$4,'Summary (sem E)'!$I$4)</c:f>
                <c:numCache>
                  <c:formatCode>General</c:formatCode>
                  <c:ptCount val="4"/>
                  <c:pt idx="0">
                    <c:v>2.7065495702528749E-2</c:v>
                  </c:pt>
                  <c:pt idx="1">
                    <c:v>3.0198583979571297E-2</c:v>
                  </c:pt>
                  <c:pt idx="2">
                    <c:v>7.931225432088497E-2</c:v>
                  </c:pt>
                  <c:pt idx="3">
                    <c:v>2.2812959371906444E-2</c:v>
                  </c:pt>
                </c:numCache>
              </c:numRef>
            </c:plus>
            <c:minus>
              <c:numRef>
                <c:f>('Summary (sem E)'!$C$4,'Summary (sem E)'!$E$4,'Summary (sem E)'!$G$4,'Summary (sem E)'!$I$4)</c:f>
                <c:numCache>
                  <c:formatCode>General</c:formatCode>
                  <c:ptCount val="4"/>
                  <c:pt idx="0">
                    <c:v>2.7065495702528749E-2</c:v>
                  </c:pt>
                  <c:pt idx="1">
                    <c:v>3.0198583979571297E-2</c:v>
                  </c:pt>
                  <c:pt idx="2">
                    <c:v>7.931225432088497E-2</c:v>
                  </c:pt>
                  <c:pt idx="3">
                    <c:v>2.2812959371906444E-2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('Summary (sem E)'!$B$2,'Summary (sem E)'!$D$2,'Summary (sem E)'!$F$2,'Summary (sem E)'!$H$2)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('Summary (sem E)'!$B$4,'Summary (sem E)'!$D$4,'Summary (sem E)'!$F$4,'Summary (sem E)'!$H$4)</c:f>
              <c:numCache>
                <c:formatCode>0.0000</c:formatCode>
                <c:ptCount val="4"/>
                <c:pt idx="0">
                  <c:v>0.24051593483007944</c:v>
                </c:pt>
                <c:pt idx="1">
                  <c:v>0.25006486445090831</c:v>
                </c:pt>
                <c:pt idx="2">
                  <c:v>0.22504151811667478</c:v>
                </c:pt>
                <c:pt idx="3">
                  <c:v>9.7080249129568127E-2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B4-433B-88A2-F29CD1BAE8A2}"/>
            </c:ext>
          </c:extLst>
        </c:ser>
        <c:ser>
          <c:idx val="1"/>
          <c:order val="1"/>
          <c:tx>
            <c:strRef>
              <c:f>'Summary (sem E)'!$A$5</c:f>
              <c:strCache>
                <c:ptCount val="1"/>
                <c:pt idx="0">
                  <c:v>Basal cellulose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('Summary (sem E)'!$C$5,'Summary (sem E)'!$E$5,'Summary (sem E)'!$G$5,'Summary (sem E)'!$I$5)</c:f>
                <c:numCache>
                  <c:formatCode>General</c:formatCode>
                  <c:ptCount val="4"/>
                  <c:pt idx="0">
                    <c:v>2.7065495702528749E-2</c:v>
                  </c:pt>
                  <c:pt idx="1">
                    <c:v>8.4940319397842717E-2</c:v>
                  </c:pt>
                  <c:pt idx="2">
                    <c:v>5.0359564881905433E-2</c:v>
                  </c:pt>
                  <c:pt idx="3">
                    <c:v>4.6791421684065242E-2</c:v>
                  </c:pt>
                </c:numCache>
              </c:numRef>
            </c:plus>
            <c:minus>
              <c:numRef>
                <c:f>('Summary (sem E)'!$C$5,'Summary (sem E)'!$E$5,'Summary (sem E)'!$G$5,'Summary (sem E)'!$I$5)</c:f>
                <c:numCache>
                  <c:formatCode>General</c:formatCode>
                  <c:ptCount val="4"/>
                  <c:pt idx="0">
                    <c:v>2.7065495702528749E-2</c:v>
                  </c:pt>
                  <c:pt idx="1">
                    <c:v>8.4940319397842717E-2</c:v>
                  </c:pt>
                  <c:pt idx="2">
                    <c:v>5.0359564881905433E-2</c:v>
                  </c:pt>
                  <c:pt idx="3">
                    <c:v>4.6791421684065242E-2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('Summary (sem E)'!$B$2,'Summary (sem E)'!$D$2,'Summary (sem E)'!$F$2,'Summary (sem E)'!$H$2)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('Summary (sem E)'!$B$5,'Summary (sem E)'!$D$5,'Summary (sem E)'!$F$5,'Summary (sem E)'!$H$5)</c:f>
              <c:numCache>
                <c:formatCode>0.0000</c:formatCode>
                <c:ptCount val="4"/>
                <c:pt idx="0">
                  <c:v>0.24051593483007944</c:v>
                </c:pt>
                <c:pt idx="1">
                  <c:v>0.22064355008475375</c:v>
                </c:pt>
                <c:pt idx="2">
                  <c:v>0.15057773586563783</c:v>
                </c:pt>
                <c:pt idx="3">
                  <c:v>0.17070330125265498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B4-433B-88A2-F29CD1BAE8A2}"/>
            </c:ext>
          </c:extLst>
        </c:ser>
        <c:ser>
          <c:idx val="2"/>
          <c:order val="2"/>
          <c:tx>
            <c:strRef>
              <c:f>'Summary (sem E)'!$A$6</c:f>
              <c:strCache>
                <c:ptCount val="1"/>
                <c:pt idx="0">
                  <c:v>FEED cellulose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('Summary (sem E)'!$C$6,'Summary (sem E)'!$E$6,'Summary (sem E)'!$G$6,'Summary (sem E)'!$I$6)</c:f>
                <c:numCache>
                  <c:formatCode>General</c:formatCode>
                  <c:ptCount val="4"/>
                  <c:pt idx="0">
                    <c:v>0.16045479052740572</c:v>
                  </c:pt>
                  <c:pt idx="1">
                    <c:v>0.18706962712699013</c:v>
                  </c:pt>
                  <c:pt idx="2">
                    <c:v>0.1833090404953617</c:v>
                  </c:pt>
                  <c:pt idx="3">
                    <c:v>0.62848920350234694</c:v>
                  </c:pt>
                </c:numCache>
              </c:numRef>
            </c:plus>
            <c:minus>
              <c:numRef>
                <c:f>('Summary (sem E)'!$C$6,'Summary (sem E)'!$E$6,'Summary (sem E)'!$G$6,'Summary (sem E)'!$I$6)</c:f>
                <c:numCache>
                  <c:formatCode>General</c:formatCode>
                  <c:ptCount val="4"/>
                  <c:pt idx="0">
                    <c:v>0.16045479052740572</c:v>
                  </c:pt>
                  <c:pt idx="1">
                    <c:v>0.18706962712699013</c:v>
                  </c:pt>
                  <c:pt idx="2">
                    <c:v>0.1833090404953617</c:v>
                  </c:pt>
                  <c:pt idx="3">
                    <c:v>0.62848920350234694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('Summary (sem E)'!$B$2,'Summary (sem E)'!$D$2,'Summary (sem E)'!$F$2,'Summary (sem E)'!$H$2)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('Summary (sem E)'!$B$6,'Summary (sem E)'!$D$6,'Summary (sem E)'!$F$6,'Summary (sem E)'!$H$6)</c:f>
              <c:numCache>
                <c:formatCode>0.0000</c:formatCode>
                <c:ptCount val="4"/>
                <c:pt idx="0">
                  <c:v>0.89846273342930505</c:v>
                </c:pt>
                <c:pt idx="1">
                  <c:v>0.99857584037987079</c:v>
                </c:pt>
                <c:pt idx="2">
                  <c:v>0.96859802305508447</c:v>
                </c:pt>
                <c:pt idx="3">
                  <c:v>1.0648378863891483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B4-433B-88A2-F29CD1BAE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144592"/>
        <c:axId val="1329145072"/>
      </c:barChart>
      <c:catAx>
        <c:axId val="132914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5072"/>
        <c:crosses val="autoZero"/>
        <c:auto val="1"/>
        <c:lblAlgn val="ctr"/>
        <c:lblOffset val="100"/>
        <c:noMultiLvlLbl val="0"/>
      </c:catAx>
      <c:valAx>
        <c:axId val="1329145072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Formic acid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(sem E)'!$A$4</c:f>
              <c:strCache>
                <c:ptCount val="1"/>
                <c:pt idx="0">
                  <c:v>Negative control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('Summary (sem E)'!$C$11,'Summary (sem E)'!$E$11,'Summary (sem E)'!$G$11,'Summary (sem E)'!$I$11)</c:f>
                <c:numCache>
                  <c:formatCode>General</c:formatCode>
                  <c:ptCount val="4"/>
                  <c:pt idx="0">
                    <c:v>3.3448882436563909E-2</c:v>
                  </c:pt>
                  <c:pt idx="1">
                    <c:v>4.0376625268422527E-2</c:v>
                  </c:pt>
                  <c:pt idx="2">
                    <c:v>7.1649588851273344E-2</c:v>
                  </c:pt>
                  <c:pt idx="3">
                    <c:v>3.2847216034673506E-2</c:v>
                  </c:pt>
                </c:numCache>
              </c:numRef>
            </c:plus>
            <c:minus>
              <c:numRef>
                <c:f>('Summary (sem E)'!$C$11,'Summary (sem E)'!$E$11,'Summary (sem E)'!$G$11,'Summary (sem E)'!$I$11)</c:f>
                <c:numCache>
                  <c:formatCode>General</c:formatCode>
                  <c:ptCount val="4"/>
                  <c:pt idx="0">
                    <c:v>3.3448882436563909E-2</c:v>
                  </c:pt>
                  <c:pt idx="1">
                    <c:v>4.0376625268422527E-2</c:v>
                  </c:pt>
                  <c:pt idx="2">
                    <c:v>7.1649588851273344E-2</c:v>
                  </c:pt>
                  <c:pt idx="3">
                    <c:v>3.2847216034673506E-2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('Summary (sem E)'!$B$2,'Summary (sem E)'!$D$2,'Summary (sem E)'!$F$2,'Summary (sem E)'!$H$2)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('Summary (sem E)'!$B$11,'Summary (sem E)'!$D$11,'Summary (sem E)'!$F$11,'Summary (sem E)'!$H$11)</c:f>
              <c:numCache>
                <c:formatCode>0.0000</c:formatCode>
                <c:ptCount val="4"/>
                <c:pt idx="0">
                  <c:v>0.19929082526079769</c:v>
                </c:pt>
                <c:pt idx="1">
                  <c:v>0.27408341516997586</c:v>
                </c:pt>
                <c:pt idx="2">
                  <c:v>0.21739803940933583</c:v>
                </c:pt>
                <c:pt idx="3">
                  <c:v>0.1643717007101502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FE-4FDB-84F0-A80755C95E54}"/>
            </c:ext>
          </c:extLst>
        </c:ser>
        <c:ser>
          <c:idx val="1"/>
          <c:order val="1"/>
          <c:tx>
            <c:strRef>
              <c:f>'Summary (sem E)'!$A$5</c:f>
              <c:strCache>
                <c:ptCount val="1"/>
                <c:pt idx="0">
                  <c:v>Basal cellulose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('Summary (sem E)'!$C$12,'Summary (sem E)'!$E$12,'Summary (sem E)'!$G$12,'Summary (sem E)'!$I$12)</c:f>
                <c:numCache>
                  <c:formatCode>General</c:formatCode>
                  <c:ptCount val="4"/>
                  <c:pt idx="0">
                    <c:v>3.3448882436563909E-2</c:v>
                  </c:pt>
                  <c:pt idx="1">
                    <c:v>4.1455711046603783E-2</c:v>
                  </c:pt>
                  <c:pt idx="2">
                    <c:v>4.2060239307226313E-2</c:v>
                  </c:pt>
                  <c:pt idx="3">
                    <c:v>5.2917402232828634E-2</c:v>
                  </c:pt>
                </c:numCache>
              </c:numRef>
            </c:plus>
            <c:minus>
              <c:numRef>
                <c:f>('Summary (sem E)'!$C$12,'Summary (sem E)'!$E$12,'Summary (sem E)'!$G$12,'Summary (sem E)'!$I$12)</c:f>
                <c:numCache>
                  <c:formatCode>General</c:formatCode>
                  <c:ptCount val="4"/>
                  <c:pt idx="0">
                    <c:v>3.3448882436563909E-2</c:v>
                  </c:pt>
                  <c:pt idx="1">
                    <c:v>4.1455711046603783E-2</c:v>
                  </c:pt>
                  <c:pt idx="2">
                    <c:v>4.2060239307226313E-2</c:v>
                  </c:pt>
                  <c:pt idx="3">
                    <c:v>5.2917402232828634E-2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('Summary (sem E)'!$B$2,'Summary (sem E)'!$D$2,'Summary (sem E)'!$F$2,'Summary (sem E)'!$H$2)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('Summary (sem E)'!$B$12,'Summary (sem E)'!$D$12,'Summary (sem E)'!$F$12,'Summary (sem E)'!$H$12)</c:f>
              <c:numCache>
                <c:formatCode>0.0000</c:formatCode>
                <c:ptCount val="4"/>
                <c:pt idx="0">
                  <c:v>0.19929082526079769</c:v>
                </c:pt>
                <c:pt idx="1">
                  <c:v>0.18302234051954419</c:v>
                </c:pt>
                <c:pt idx="2">
                  <c:v>0.10850709362208658</c:v>
                </c:pt>
                <c:pt idx="3">
                  <c:v>8.89241007311629E-2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FE-4FDB-84F0-A80755C95E54}"/>
            </c:ext>
          </c:extLst>
        </c:ser>
        <c:ser>
          <c:idx val="2"/>
          <c:order val="2"/>
          <c:tx>
            <c:strRef>
              <c:f>'Summary (sem E)'!$A$6</c:f>
              <c:strCache>
                <c:ptCount val="1"/>
                <c:pt idx="0">
                  <c:v>FEED cellulose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('Summary (sem E)'!$C$13,'Summary (sem E)'!$E$13,'Summary (sem E)'!$G$13,'Summary (sem E)'!$I$13)</c:f>
                <c:numCache>
                  <c:formatCode>General</c:formatCode>
                  <c:ptCount val="4"/>
                  <c:pt idx="0">
                    <c:v>2.3971226207447204E-2</c:v>
                  </c:pt>
                  <c:pt idx="1">
                    <c:v>7.9446480584725643E-2</c:v>
                  </c:pt>
                  <c:pt idx="2">
                    <c:v>1.9536551305718818E-2</c:v>
                  </c:pt>
                  <c:pt idx="3">
                    <c:v>3.9697622640534933E-2</c:v>
                  </c:pt>
                </c:numCache>
              </c:numRef>
            </c:plus>
            <c:minus>
              <c:numRef>
                <c:f>('Summary (sem E)'!$C$13,'Summary (sem E)'!$E$13,'Summary (sem E)'!$G$13,'Summary (sem E)'!$I$13)</c:f>
                <c:numCache>
                  <c:formatCode>General</c:formatCode>
                  <c:ptCount val="4"/>
                  <c:pt idx="0">
                    <c:v>2.3971226207447204E-2</c:v>
                  </c:pt>
                  <c:pt idx="1">
                    <c:v>7.9446480584725643E-2</c:v>
                  </c:pt>
                  <c:pt idx="2">
                    <c:v>1.9536551305718818E-2</c:v>
                  </c:pt>
                  <c:pt idx="3">
                    <c:v>3.9697622640534933E-2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('Summary (sem E)'!$B$2,'Summary (sem E)'!$D$2,'Summary (sem E)'!$F$2,'Summary (sem E)'!$H$2)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('Summary (sem E)'!$B$13,'Summary (sem E)'!$D$13,'Summary (sem E)'!$F$13,'Summary (sem E)'!$H$13)</c:f>
              <c:numCache>
                <c:formatCode>0.0000</c:formatCode>
                <c:ptCount val="4"/>
                <c:pt idx="0">
                  <c:v>0.14451179563707878</c:v>
                </c:pt>
                <c:pt idx="1">
                  <c:v>0.1659229624218953</c:v>
                </c:pt>
                <c:pt idx="2">
                  <c:v>0.11265597318478185</c:v>
                </c:pt>
                <c:pt idx="3">
                  <c:v>0.12188677247045739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FE-4FDB-84F0-A80755C95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144592"/>
        <c:axId val="1329145072"/>
      </c:barChart>
      <c:catAx>
        <c:axId val="132914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5072"/>
        <c:crosses val="autoZero"/>
        <c:auto val="1"/>
        <c:lblAlgn val="ctr"/>
        <c:lblOffset val="100"/>
        <c:noMultiLvlLbl val="0"/>
      </c:catAx>
      <c:valAx>
        <c:axId val="132914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Acetic acid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(sem E)'!$A$4</c:f>
              <c:strCache>
                <c:ptCount val="1"/>
                <c:pt idx="0">
                  <c:v>Negative control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('Summary (sem E)'!$C$18,'Summary (sem E)'!$E$18,'Summary (sem E)'!$G$18,'Summary (sem E)'!$I$18)</c:f>
                <c:numCache>
                  <c:formatCode>General</c:formatCode>
                  <c:ptCount val="4"/>
                  <c:pt idx="0">
                    <c:v>5.2381366505094083E-2</c:v>
                  </c:pt>
                  <c:pt idx="1">
                    <c:v>7.2042541949634886E-2</c:v>
                  </c:pt>
                  <c:pt idx="2">
                    <c:v>0.1499815481020175</c:v>
                  </c:pt>
                  <c:pt idx="3">
                    <c:v>0.18018330713429487</c:v>
                  </c:pt>
                </c:numCache>
              </c:numRef>
            </c:plus>
            <c:minus>
              <c:numRef>
                <c:f>('Summary (sem E)'!$C$18,'Summary (sem E)'!$E$18,'Summary (sem E)'!$G$18,'Summary (sem E)'!$I$18)</c:f>
                <c:numCache>
                  <c:formatCode>General</c:formatCode>
                  <c:ptCount val="4"/>
                  <c:pt idx="0">
                    <c:v>5.2381366505094083E-2</c:v>
                  </c:pt>
                  <c:pt idx="1">
                    <c:v>7.2042541949634886E-2</c:v>
                  </c:pt>
                  <c:pt idx="2">
                    <c:v>0.1499815481020175</c:v>
                  </c:pt>
                  <c:pt idx="3">
                    <c:v>0.18018330713429487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('Summary (sem E)'!$B$2,'Summary (sem E)'!$D$2,'Summary (sem E)'!$F$2,'Summary (sem E)'!$H$2)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('Summary (sem E)'!$B$18,'Summary (sem E)'!$D$18,'Summary (sem E)'!$F$18,'Summary (sem E)'!$H$18)</c:f>
              <c:numCache>
                <c:formatCode>0.0000</c:formatCode>
                <c:ptCount val="4"/>
                <c:pt idx="0">
                  <c:v>0.11479185538086195</c:v>
                </c:pt>
                <c:pt idx="1">
                  <c:v>0.41633345191157678</c:v>
                </c:pt>
                <c:pt idx="2">
                  <c:v>0.81466609509587862</c:v>
                </c:pt>
                <c:pt idx="3">
                  <c:v>1.2765047339342264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D8-4EB5-A320-18BB0867EB4F}"/>
            </c:ext>
          </c:extLst>
        </c:ser>
        <c:ser>
          <c:idx val="1"/>
          <c:order val="1"/>
          <c:tx>
            <c:strRef>
              <c:f>'Summary (sem E)'!$A$5</c:f>
              <c:strCache>
                <c:ptCount val="1"/>
                <c:pt idx="0">
                  <c:v>Basal cellulose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('Summary (sem E)'!$C$19,'Summary (sem E)'!$E$19,'Summary (sem E)'!$G$19,'Summary (sem E)'!$I$19)</c:f>
                <c:numCache>
                  <c:formatCode>General</c:formatCode>
                  <c:ptCount val="4"/>
                  <c:pt idx="0">
                    <c:v>5.2381366505094083E-2</c:v>
                  </c:pt>
                  <c:pt idx="1">
                    <c:v>0.33945729824078807</c:v>
                  </c:pt>
                  <c:pt idx="2">
                    <c:v>0.4262006681381007</c:v>
                  </c:pt>
                  <c:pt idx="3">
                    <c:v>0.36449080988090637</c:v>
                  </c:pt>
                </c:numCache>
              </c:numRef>
            </c:plus>
            <c:minus>
              <c:numRef>
                <c:f>('Summary (sem E)'!$C$19,'Summary (sem E)'!$E$19,'Summary (sem E)'!$G$19,'Summary (sem E)'!$I$19)</c:f>
                <c:numCache>
                  <c:formatCode>General</c:formatCode>
                  <c:ptCount val="4"/>
                  <c:pt idx="0">
                    <c:v>5.2381366505094083E-2</c:v>
                  </c:pt>
                  <c:pt idx="1">
                    <c:v>0.33945729824078807</c:v>
                  </c:pt>
                  <c:pt idx="2">
                    <c:v>0.4262006681381007</c:v>
                  </c:pt>
                  <c:pt idx="3">
                    <c:v>0.36449080988090637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('Summary (sem E)'!$B$2,'Summary (sem E)'!$D$2,'Summary (sem E)'!$F$2,'Summary (sem E)'!$H$2)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('Summary (sem E)'!$B$19,'Summary (sem E)'!$D$19,'Summary (sem E)'!$F$19,'Summary (sem E)'!$H$19)</c:f>
              <c:numCache>
                <c:formatCode>0.0000</c:formatCode>
                <c:ptCount val="4"/>
                <c:pt idx="0">
                  <c:v>0.11479185538086195</c:v>
                </c:pt>
                <c:pt idx="1">
                  <c:v>0.57503705167065411</c:v>
                </c:pt>
                <c:pt idx="2">
                  <c:v>1.1536495657279393</c:v>
                </c:pt>
                <c:pt idx="3">
                  <c:v>1.5797256722394166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D8-4EB5-A320-18BB0867EB4F}"/>
            </c:ext>
          </c:extLst>
        </c:ser>
        <c:ser>
          <c:idx val="2"/>
          <c:order val="2"/>
          <c:tx>
            <c:strRef>
              <c:f>'Summary (sem E)'!$A$6</c:f>
              <c:strCache>
                <c:ptCount val="1"/>
                <c:pt idx="0">
                  <c:v>FEED cellulose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('Summary (sem E)'!$C$20,'Summary (sem E)'!$E$20,'Summary (sem E)'!$G$20,'Summary (sem E)'!$I$20)</c:f>
                <c:numCache>
                  <c:formatCode>General</c:formatCode>
                  <c:ptCount val="4"/>
                  <c:pt idx="0">
                    <c:v>0.11565901950496432</c:v>
                  </c:pt>
                  <c:pt idx="1">
                    <c:v>0.20533344960003674</c:v>
                  </c:pt>
                  <c:pt idx="2">
                    <c:v>0.41687250566210576</c:v>
                  </c:pt>
                  <c:pt idx="3">
                    <c:v>0.65799704454168784</c:v>
                  </c:pt>
                </c:numCache>
              </c:numRef>
            </c:plus>
            <c:minus>
              <c:numRef>
                <c:f>('Summary (sem E)'!$C$20,'Summary (sem E)'!$E$20,'Summary (sem E)'!$G$20,'Summary (sem E)'!$I$20)</c:f>
                <c:numCache>
                  <c:formatCode>General</c:formatCode>
                  <c:ptCount val="4"/>
                  <c:pt idx="0">
                    <c:v>0.11565901950496432</c:v>
                  </c:pt>
                  <c:pt idx="1">
                    <c:v>0.20533344960003674</c:v>
                  </c:pt>
                  <c:pt idx="2">
                    <c:v>0.41687250566210576</c:v>
                  </c:pt>
                  <c:pt idx="3">
                    <c:v>0.65799704454168784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('Summary (sem E)'!$B$2,'Summary (sem E)'!$D$2,'Summary (sem E)'!$F$2,'Summary (sem E)'!$H$2)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('Summary (sem E)'!$B$20,'Summary (sem E)'!$D$20,'Summary (sem E)'!$F$20,'Summary (sem E)'!$H$20)</c:f>
              <c:numCache>
                <c:formatCode>0.0000</c:formatCode>
                <c:ptCount val="4"/>
                <c:pt idx="0">
                  <c:v>0.44527997933028496</c:v>
                </c:pt>
                <c:pt idx="1">
                  <c:v>1.7635036242476274</c:v>
                </c:pt>
                <c:pt idx="2">
                  <c:v>2.4950967296377731</c:v>
                </c:pt>
                <c:pt idx="3">
                  <c:v>3.3475440344137763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D8-4EB5-A320-18BB0867E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144592"/>
        <c:axId val="1329145072"/>
      </c:barChart>
      <c:catAx>
        <c:axId val="132914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5072"/>
        <c:crosses val="autoZero"/>
        <c:auto val="1"/>
        <c:lblAlgn val="ctr"/>
        <c:lblOffset val="100"/>
        <c:noMultiLvlLbl val="0"/>
      </c:catAx>
      <c:valAx>
        <c:axId val="1329145072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Propionic acid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(sem E)'!$A$4</c:f>
              <c:strCache>
                <c:ptCount val="1"/>
                <c:pt idx="0">
                  <c:v>Negative control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('Summary (sem E)'!$C$25,'Summary (sem E)'!$E$25,'Summary (sem E)'!$G$25,'Summary (sem E)'!$I$25)</c:f>
                <c:numCache>
                  <c:formatCode>General</c:formatCode>
                  <c:ptCount val="4"/>
                  <c:pt idx="0">
                    <c:v>6.1680366065528097E-2</c:v>
                  </c:pt>
                  <c:pt idx="1">
                    <c:v>0.13215970501225657</c:v>
                  </c:pt>
                  <c:pt idx="2">
                    <c:v>0.38467566530194008</c:v>
                  </c:pt>
                  <c:pt idx="3">
                    <c:v>0.17050624704264949</c:v>
                  </c:pt>
                </c:numCache>
              </c:numRef>
            </c:plus>
            <c:minus>
              <c:numRef>
                <c:f>('Summary (sem E)'!$C$25,'Summary (sem E)'!$E$25,'Summary (sem E)'!$G$25,'Summary (sem E)'!$I$25)</c:f>
                <c:numCache>
                  <c:formatCode>General</c:formatCode>
                  <c:ptCount val="4"/>
                  <c:pt idx="0">
                    <c:v>6.1680366065528097E-2</c:v>
                  </c:pt>
                  <c:pt idx="1">
                    <c:v>0.13215970501225657</c:v>
                  </c:pt>
                  <c:pt idx="2">
                    <c:v>0.38467566530194008</c:v>
                  </c:pt>
                  <c:pt idx="3">
                    <c:v>0.17050624704264949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('Summary (sem E)'!$B$2,'Summary (sem E)'!$D$2,'Summary (sem E)'!$F$2,'Summary (sem E)'!$H$2)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('Summary (sem E)'!$B$25,'Summary (sem E)'!$D$25,'Summary (sem E)'!$F$25,'Summary (sem E)'!$H$25)</c:f>
              <c:numCache>
                <c:formatCode>0.0000</c:formatCode>
                <c:ptCount val="4"/>
                <c:pt idx="0">
                  <c:v>0.75800042085175523</c:v>
                </c:pt>
                <c:pt idx="1">
                  <c:v>1.0603496421388725</c:v>
                </c:pt>
                <c:pt idx="2">
                  <c:v>0.76410694739490226</c:v>
                </c:pt>
                <c:pt idx="3">
                  <c:v>0.73234658263671437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CA-43E5-80EF-2945D88926CF}"/>
            </c:ext>
          </c:extLst>
        </c:ser>
        <c:ser>
          <c:idx val="1"/>
          <c:order val="1"/>
          <c:tx>
            <c:strRef>
              <c:f>'Summary (sem E)'!$A$5</c:f>
              <c:strCache>
                <c:ptCount val="1"/>
                <c:pt idx="0">
                  <c:v>Basal cellulose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('Summary (sem E)'!$C$26,'Summary (sem E)'!$E$26,'Summary (sem E)'!$G$26,'Summary (sem E)'!$I$26)</c:f>
                <c:numCache>
                  <c:formatCode>General</c:formatCode>
                  <c:ptCount val="4"/>
                  <c:pt idx="0">
                    <c:v>6.1680366065528097E-2</c:v>
                  </c:pt>
                  <c:pt idx="1">
                    <c:v>0.14602324626735047</c:v>
                  </c:pt>
                  <c:pt idx="2">
                    <c:v>0.15908987762411173</c:v>
                  </c:pt>
                  <c:pt idx="3">
                    <c:v>9.5852264116074101E-2</c:v>
                  </c:pt>
                </c:numCache>
              </c:numRef>
            </c:plus>
            <c:minus>
              <c:numRef>
                <c:f>('Summary (sem E)'!$C$26,'Summary (sem E)'!$E$26,'Summary (sem E)'!$G$26,'Summary (sem E)'!$I$26)</c:f>
                <c:numCache>
                  <c:formatCode>General</c:formatCode>
                  <c:ptCount val="4"/>
                  <c:pt idx="0">
                    <c:v>6.1680366065528097E-2</c:v>
                  </c:pt>
                  <c:pt idx="1">
                    <c:v>0.14602324626735047</c:v>
                  </c:pt>
                  <c:pt idx="2">
                    <c:v>0.15908987762411173</c:v>
                  </c:pt>
                  <c:pt idx="3">
                    <c:v>9.5852264116074101E-2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('Summary (sem E)'!$B$2,'Summary (sem E)'!$D$2,'Summary (sem E)'!$F$2,'Summary (sem E)'!$H$2)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('Summary (sem E)'!$B$26,'Summary (sem E)'!$D$26,'Summary (sem E)'!$F$26,'Summary (sem E)'!$H$26)</c:f>
              <c:numCache>
                <c:formatCode>0.0000</c:formatCode>
                <c:ptCount val="4"/>
                <c:pt idx="0">
                  <c:v>0.75800042085175523</c:v>
                </c:pt>
                <c:pt idx="1">
                  <c:v>0.63047534629988511</c:v>
                </c:pt>
                <c:pt idx="2">
                  <c:v>0.65131489400571407</c:v>
                </c:pt>
                <c:pt idx="3">
                  <c:v>0.60999037114214916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CA-43E5-80EF-2945D88926CF}"/>
            </c:ext>
          </c:extLst>
        </c:ser>
        <c:ser>
          <c:idx val="2"/>
          <c:order val="2"/>
          <c:tx>
            <c:strRef>
              <c:f>'Summary (sem E)'!$A$6</c:f>
              <c:strCache>
                <c:ptCount val="1"/>
                <c:pt idx="0">
                  <c:v>FEED cellulose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('Summary (sem E)'!$C$27,'Summary (sem E)'!$E$27,'Summary (sem E)'!$G$27,'Summary (sem E)'!$I$27)</c:f>
                <c:numCache>
                  <c:formatCode>General</c:formatCode>
                  <c:ptCount val="4"/>
                  <c:pt idx="0">
                    <c:v>0.22246009022728472</c:v>
                  </c:pt>
                  <c:pt idx="1">
                    <c:v>0.74907027366454038</c:v>
                  </c:pt>
                  <c:pt idx="2">
                    <c:v>0.83274826256770818</c:v>
                  </c:pt>
                  <c:pt idx="3">
                    <c:v>1.1484416768257246</c:v>
                  </c:pt>
                </c:numCache>
              </c:numRef>
            </c:plus>
            <c:minus>
              <c:numRef>
                <c:f>('Summary (sem E)'!$C$27,'Summary (sem E)'!$E$27,'Summary (sem E)'!$G$27,'Summary (sem E)'!$I$27)</c:f>
                <c:numCache>
                  <c:formatCode>General</c:formatCode>
                  <c:ptCount val="4"/>
                  <c:pt idx="0">
                    <c:v>0.22246009022728472</c:v>
                  </c:pt>
                  <c:pt idx="1">
                    <c:v>0.74907027366454038</c:v>
                  </c:pt>
                  <c:pt idx="2">
                    <c:v>0.83274826256770818</c:v>
                  </c:pt>
                  <c:pt idx="3">
                    <c:v>1.1484416768257246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('Summary (sem E)'!$B$2,'Summary (sem E)'!$D$2,'Summary (sem E)'!$F$2,'Summary (sem E)'!$H$2)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('Summary (sem E)'!$B$27,'Summary (sem E)'!$D$27,'Summary (sem E)'!$F$27,'Summary (sem E)'!$H$27)</c:f>
              <c:numCache>
                <c:formatCode>0.0000</c:formatCode>
                <c:ptCount val="4"/>
                <c:pt idx="0">
                  <c:v>1.9379422379766922</c:v>
                </c:pt>
                <c:pt idx="1">
                  <c:v>2.5657129891375763</c:v>
                </c:pt>
                <c:pt idx="2">
                  <c:v>2.8329543784265763</c:v>
                </c:pt>
                <c:pt idx="3">
                  <c:v>3.4616043336086335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CA-43E5-80EF-2945D8892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144592"/>
        <c:axId val="1329145072"/>
      </c:barChart>
      <c:catAx>
        <c:axId val="132914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5072"/>
        <c:crosses val="autoZero"/>
        <c:auto val="1"/>
        <c:lblAlgn val="ctr"/>
        <c:lblOffset val="100"/>
        <c:noMultiLvlLbl val="0"/>
      </c:catAx>
      <c:valAx>
        <c:axId val="1329145072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Iso-butyric acid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(sem E)'!$A$4</c:f>
              <c:strCache>
                <c:ptCount val="1"/>
                <c:pt idx="0">
                  <c:v>Negative control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('Summary (sem E)'!$C$32,'Summary (sem E)'!$E$32,'Summary (sem E)'!$G$32,'Summary (sem E)'!$I$32)</c:f>
                <c:numCache>
                  <c:formatCode>General</c:formatCode>
                  <c:ptCount val="4"/>
                  <c:pt idx="0">
                    <c:v>4.1152045295649954E-2</c:v>
                  </c:pt>
                  <c:pt idx="1">
                    <c:v>1.0751983022049778E-2</c:v>
                  </c:pt>
                  <c:pt idx="2">
                    <c:v>4.7160682888730522E-2</c:v>
                  </c:pt>
                  <c:pt idx="3">
                    <c:v>6.7006227674101387E-2</c:v>
                  </c:pt>
                </c:numCache>
              </c:numRef>
            </c:plus>
            <c:minus>
              <c:numRef>
                <c:f>('Summary (sem E)'!$C$32,'Summary (sem E)'!$E$32,'Summary (sem E)'!$G$32,'Summary (sem E)'!$I$32)</c:f>
                <c:numCache>
                  <c:formatCode>General</c:formatCode>
                  <c:ptCount val="4"/>
                  <c:pt idx="0">
                    <c:v>4.1152045295649954E-2</c:v>
                  </c:pt>
                  <c:pt idx="1">
                    <c:v>1.0751983022049778E-2</c:v>
                  </c:pt>
                  <c:pt idx="2">
                    <c:v>4.7160682888730522E-2</c:v>
                  </c:pt>
                  <c:pt idx="3">
                    <c:v>6.7006227674101387E-2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('Summary (sem E)'!$B$2,'Summary (sem E)'!$D$2,'Summary (sem E)'!$F$2,'Summary (sem E)'!$H$2)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('Summary (sem E)'!$B$32,'Summary (sem E)'!$D$32,'Summary (sem E)'!$F$32,'Summary (sem E)'!$H$32)</c:f>
              <c:numCache>
                <c:formatCode>0.0000</c:formatCode>
                <c:ptCount val="4"/>
                <c:pt idx="0">
                  <c:v>6.4780243611175542E-2</c:v>
                </c:pt>
                <c:pt idx="1">
                  <c:v>0.11256230765257644</c:v>
                </c:pt>
                <c:pt idx="2">
                  <c:v>0.15284234154344603</c:v>
                </c:pt>
                <c:pt idx="3">
                  <c:v>0.18334609291051396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1E-4EB6-934B-6219D4529D61}"/>
            </c:ext>
          </c:extLst>
        </c:ser>
        <c:ser>
          <c:idx val="1"/>
          <c:order val="1"/>
          <c:tx>
            <c:strRef>
              <c:f>'Summary (sem E)'!$A$5</c:f>
              <c:strCache>
                <c:ptCount val="1"/>
                <c:pt idx="0">
                  <c:v>Basal cellulose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('Summary (sem E)'!$C$33,'Summary (sem E)'!$E$33,'Summary (sem E)'!$G$33,'Summary (sem E)'!$I$33)</c:f>
                <c:numCache>
                  <c:formatCode>General</c:formatCode>
                  <c:ptCount val="4"/>
                  <c:pt idx="0">
                    <c:v>4.1152045295649954E-2</c:v>
                  </c:pt>
                  <c:pt idx="1">
                    <c:v>3.7218085004208548E-2</c:v>
                  </c:pt>
                  <c:pt idx="2">
                    <c:v>3.9211366102934589E-2</c:v>
                  </c:pt>
                  <c:pt idx="3">
                    <c:v>1.3939669811912154E-2</c:v>
                  </c:pt>
                </c:numCache>
              </c:numRef>
            </c:plus>
            <c:minus>
              <c:numRef>
                <c:f>('Summary (sem E)'!$C$33,'Summary (sem E)'!$E$33,'Summary (sem E)'!$G$33,'Summary (sem E)'!$I$33)</c:f>
                <c:numCache>
                  <c:formatCode>General</c:formatCode>
                  <c:ptCount val="4"/>
                  <c:pt idx="0">
                    <c:v>4.1152045295649954E-2</c:v>
                  </c:pt>
                  <c:pt idx="1">
                    <c:v>3.7218085004208548E-2</c:v>
                  </c:pt>
                  <c:pt idx="2">
                    <c:v>3.9211366102934589E-2</c:v>
                  </c:pt>
                  <c:pt idx="3">
                    <c:v>1.3939669811912154E-2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('Summary (sem E)'!$B$2,'Summary (sem E)'!$D$2,'Summary (sem E)'!$F$2,'Summary (sem E)'!$H$2)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('Summary (sem E)'!$B$33,'Summary (sem E)'!$D$33,'Summary (sem E)'!$F$33,'Summary (sem E)'!$H$33)</c:f>
              <c:numCache>
                <c:formatCode>0.0000</c:formatCode>
                <c:ptCount val="4"/>
                <c:pt idx="0">
                  <c:v>6.4780243611175542E-2</c:v>
                </c:pt>
                <c:pt idx="1">
                  <c:v>9.367354368485746E-2</c:v>
                </c:pt>
                <c:pt idx="2">
                  <c:v>0.13834731305826617</c:v>
                </c:pt>
                <c:pt idx="3">
                  <c:v>0.17687005199718428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1E-4EB6-934B-6219D4529D61}"/>
            </c:ext>
          </c:extLst>
        </c:ser>
        <c:ser>
          <c:idx val="2"/>
          <c:order val="2"/>
          <c:tx>
            <c:strRef>
              <c:f>'Summary (sem E)'!$A$6</c:f>
              <c:strCache>
                <c:ptCount val="1"/>
                <c:pt idx="0">
                  <c:v>FEED cellulose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('Summary (sem E)'!$C$34,'Summary (sem E)'!$E$34,'Summary (sem E)'!$G$34,'Summary (sem E)'!$I$34)</c:f>
                <c:numCache>
                  <c:formatCode>General</c:formatCode>
                  <c:ptCount val="4"/>
                  <c:pt idx="0">
                    <c:v>2.6918099223214607E-2</c:v>
                  </c:pt>
                  <c:pt idx="1">
                    <c:v>4.5671326363019904E-2</c:v>
                  </c:pt>
                  <c:pt idx="2">
                    <c:v>2.7937137912358981E-2</c:v>
                  </c:pt>
                  <c:pt idx="3">
                    <c:v>2.2350859300928623E-2</c:v>
                  </c:pt>
                </c:numCache>
              </c:numRef>
            </c:plus>
            <c:minus>
              <c:numRef>
                <c:f>('Summary (sem E)'!$C$34,'Summary (sem E)'!$E$34,'Summary (sem E)'!$G$34,'Summary (sem E)'!$I$34)</c:f>
                <c:numCache>
                  <c:formatCode>General</c:formatCode>
                  <c:ptCount val="4"/>
                  <c:pt idx="0">
                    <c:v>2.6918099223214607E-2</c:v>
                  </c:pt>
                  <c:pt idx="1">
                    <c:v>4.5671326363019904E-2</c:v>
                  </c:pt>
                  <c:pt idx="2">
                    <c:v>2.7937137912358981E-2</c:v>
                  </c:pt>
                  <c:pt idx="3">
                    <c:v>2.2350859300928623E-2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('Summary (sem E)'!$B$2,'Summary (sem E)'!$D$2,'Summary (sem E)'!$F$2,'Summary (sem E)'!$H$2)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('Summary (sem E)'!$B$34,'Summary (sem E)'!$D$34,'Summary (sem E)'!$F$34,'Summary (sem E)'!$H$34)</c:f>
              <c:numCache>
                <c:formatCode>0.0000</c:formatCode>
                <c:ptCount val="4"/>
                <c:pt idx="0">
                  <c:v>0.23077595480641927</c:v>
                </c:pt>
                <c:pt idx="1">
                  <c:v>0.27135143093458824</c:v>
                </c:pt>
                <c:pt idx="2">
                  <c:v>0.26442054912018687</c:v>
                </c:pt>
                <c:pt idx="3">
                  <c:v>0.30218769086254571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1E-4EB6-934B-6219D4529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144592"/>
        <c:axId val="1329145072"/>
      </c:barChart>
      <c:catAx>
        <c:axId val="132914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5072"/>
        <c:crosses val="autoZero"/>
        <c:auto val="1"/>
        <c:lblAlgn val="ctr"/>
        <c:lblOffset val="100"/>
        <c:noMultiLvlLbl val="0"/>
      </c:catAx>
      <c:valAx>
        <c:axId val="1329145072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N-butyric acid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(sem E)'!$A$4</c:f>
              <c:strCache>
                <c:ptCount val="1"/>
                <c:pt idx="0">
                  <c:v>Negative control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('Summary (sem E)'!$C$39,'Summary (sem E)'!$E$39,'Summary (sem E)'!$G$39,'Summary (sem E)'!$I$39)</c:f>
                <c:numCache>
                  <c:formatCode>General</c:formatCode>
                  <c:ptCount val="4"/>
                  <c:pt idx="0">
                    <c:v>3.2353703916802458E-2</c:v>
                  </c:pt>
                  <c:pt idx="1">
                    <c:v>3.8146378943383928E-2</c:v>
                  </c:pt>
                  <c:pt idx="2">
                    <c:v>0.15255142374493352</c:v>
                  </c:pt>
                  <c:pt idx="3">
                    <c:v>0.35292444588927319</c:v>
                  </c:pt>
                </c:numCache>
              </c:numRef>
            </c:plus>
            <c:minus>
              <c:numRef>
                <c:f>('Summary (sem E)'!$C$39,'Summary (sem E)'!$E$39,'Summary (sem E)'!$G$39,'Summary (sem E)'!$I$39)</c:f>
                <c:numCache>
                  <c:formatCode>General</c:formatCode>
                  <c:ptCount val="4"/>
                  <c:pt idx="0">
                    <c:v>3.2353703916802458E-2</c:v>
                  </c:pt>
                  <c:pt idx="1">
                    <c:v>3.8146378943383928E-2</c:v>
                  </c:pt>
                  <c:pt idx="2">
                    <c:v>0.15255142374493352</c:v>
                  </c:pt>
                  <c:pt idx="3">
                    <c:v>0.35292444588927319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('Summary (sem E)'!$B$2,'Summary (sem E)'!$D$2,'Summary (sem E)'!$F$2,'Summary (sem E)'!$H$2)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('Summary (sem E)'!$B$39,'Summary (sem E)'!$D$39,'Summary (sem E)'!$F$39,'Summary (sem E)'!$H$39)</c:f>
              <c:numCache>
                <c:formatCode>0.0000</c:formatCode>
                <c:ptCount val="4"/>
                <c:pt idx="0">
                  <c:v>6.6911102557153435E-2</c:v>
                </c:pt>
                <c:pt idx="1">
                  <c:v>7.675388018732357E-2</c:v>
                </c:pt>
                <c:pt idx="2">
                  <c:v>0.33557906850998065</c:v>
                </c:pt>
                <c:pt idx="3">
                  <c:v>0.66261323297510932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0D-4FCA-B09F-8A487DB79E92}"/>
            </c:ext>
          </c:extLst>
        </c:ser>
        <c:ser>
          <c:idx val="1"/>
          <c:order val="1"/>
          <c:tx>
            <c:strRef>
              <c:f>'Summary (sem E)'!$A$5</c:f>
              <c:strCache>
                <c:ptCount val="1"/>
                <c:pt idx="0">
                  <c:v>Basal cellulose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('Summary (sem E)'!$C$40,'Summary (sem E)'!$E$40,'Summary (sem E)'!$G$40,'Summary (sem E)'!$I$40)</c:f>
                <c:numCache>
                  <c:formatCode>General</c:formatCode>
                  <c:ptCount val="4"/>
                  <c:pt idx="0">
                    <c:v>3.2353703916802458E-2</c:v>
                  </c:pt>
                  <c:pt idx="1">
                    <c:v>0.10026343444291226</c:v>
                  </c:pt>
                  <c:pt idx="2">
                    <c:v>0.22153848255318742</c:v>
                  </c:pt>
                  <c:pt idx="3">
                    <c:v>0.15777353589855039</c:v>
                  </c:pt>
                </c:numCache>
              </c:numRef>
            </c:plus>
            <c:minus>
              <c:numRef>
                <c:f>('Summary (sem E)'!$C$40,'Summary (sem E)'!$E$40,'Summary (sem E)'!$G$40,'Summary (sem E)'!$I$40)</c:f>
                <c:numCache>
                  <c:formatCode>General</c:formatCode>
                  <c:ptCount val="4"/>
                  <c:pt idx="0">
                    <c:v>3.2353703916802458E-2</c:v>
                  </c:pt>
                  <c:pt idx="1">
                    <c:v>0.10026343444291226</c:v>
                  </c:pt>
                  <c:pt idx="2">
                    <c:v>0.22153848255318742</c:v>
                  </c:pt>
                  <c:pt idx="3">
                    <c:v>0.15777353589855039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('Summary (sem E)'!$B$2,'Summary (sem E)'!$D$2,'Summary (sem E)'!$F$2,'Summary (sem E)'!$H$2)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('Summary (sem E)'!$B$40,'Summary (sem E)'!$D$40,'Summary (sem E)'!$F$40,'Summary (sem E)'!$H$40)</c:f>
              <c:numCache>
                <c:formatCode>0.0000</c:formatCode>
                <c:ptCount val="4"/>
                <c:pt idx="0">
                  <c:v>6.6911102557153435E-2</c:v>
                </c:pt>
                <c:pt idx="1">
                  <c:v>0.20795676463133128</c:v>
                </c:pt>
                <c:pt idx="2">
                  <c:v>0.4225642321575957</c:v>
                </c:pt>
                <c:pt idx="3">
                  <c:v>0.68202616135926131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0D-4FCA-B09F-8A487DB79E92}"/>
            </c:ext>
          </c:extLst>
        </c:ser>
        <c:ser>
          <c:idx val="2"/>
          <c:order val="2"/>
          <c:tx>
            <c:strRef>
              <c:f>'Summary (sem E)'!$A$6</c:f>
              <c:strCache>
                <c:ptCount val="1"/>
                <c:pt idx="0">
                  <c:v>FEED cellulose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('Summary (sem E)'!$C$41,'Summary (sem E)'!$E$41,'Summary (sem E)'!$G$41,'Summary (sem E)'!$I$41)</c:f>
                <c:numCache>
                  <c:formatCode>General</c:formatCode>
                  <c:ptCount val="4"/>
                  <c:pt idx="0">
                    <c:v>5.0042934428315138E-2</c:v>
                  </c:pt>
                  <c:pt idx="1">
                    <c:v>0.17756507920693684</c:v>
                  </c:pt>
                  <c:pt idx="2">
                    <c:v>0.35390320977804091</c:v>
                  </c:pt>
                  <c:pt idx="3">
                    <c:v>0.40431318134122235</c:v>
                  </c:pt>
                </c:numCache>
              </c:numRef>
            </c:plus>
            <c:minus>
              <c:numRef>
                <c:f>('Summary (sem E)'!$C$41,'Summary (sem E)'!$E$41,'Summary (sem E)'!$G$41,'Summary (sem E)'!$I$41)</c:f>
                <c:numCache>
                  <c:formatCode>General</c:formatCode>
                  <c:ptCount val="4"/>
                  <c:pt idx="0">
                    <c:v>5.0042934428315138E-2</c:v>
                  </c:pt>
                  <c:pt idx="1">
                    <c:v>0.17756507920693684</c:v>
                  </c:pt>
                  <c:pt idx="2">
                    <c:v>0.35390320977804091</c:v>
                  </c:pt>
                  <c:pt idx="3">
                    <c:v>0.40431318134122235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('Summary (sem E)'!$B$2,'Summary (sem E)'!$D$2,'Summary (sem E)'!$F$2,'Summary (sem E)'!$H$2)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('Summary (sem E)'!$B$41,'Summary (sem E)'!$D$41,'Summary (sem E)'!$F$41,'Summary (sem E)'!$H$41)</c:f>
              <c:numCache>
                <c:formatCode>0.0000</c:formatCode>
                <c:ptCount val="4"/>
                <c:pt idx="0">
                  <c:v>0.18476631897177537</c:v>
                </c:pt>
                <c:pt idx="1">
                  <c:v>0.70777448378439245</c:v>
                </c:pt>
                <c:pt idx="2">
                  <c:v>1.4558233069766047</c:v>
                </c:pt>
                <c:pt idx="3">
                  <c:v>1.7844436111314037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0D-4FCA-B09F-8A487DB79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144592"/>
        <c:axId val="1329145072"/>
      </c:barChart>
      <c:catAx>
        <c:axId val="132914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5072"/>
        <c:crosses val="autoZero"/>
        <c:auto val="1"/>
        <c:lblAlgn val="ctr"/>
        <c:lblOffset val="100"/>
        <c:noMultiLvlLbl val="0"/>
      </c:catAx>
      <c:valAx>
        <c:axId val="1329145072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Iso-valeric acid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(sem E)'!$A$4</c:f>
              <c:strCache>
                <c:ptCount val="1"/>
                <c:pt idx="0">
                  <c:v>Negative control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('Summary (sem E)'!$C$46,'Summary (sem E)'!$E$46,'Summary (sem E)'!$G$46,'Summary (sem E)'!$I$46)</c:f>
                <c:numCache>
                  <c:formatCode>General</c:formatCode>
                  <c:ptCount val="4"/>
                  <c:pt idx="0">
                    <c:v>1.4164619302051715E-2</c:v>
                  </c:pt>
                  <c:pt idx="1">
                    <c:v>1.3263072359048179E-2</c:v>
                  </c:pt>
                  <c:pt idx="2">
                    <c:v>8.7280663827380631E-2</c:v>
                  </c:pt>
                  <c:pt idx="3">
                    <c:v>3.3780352254089312E-2</c:v>
                  </c:pt>
                </c:numCache>
              </c:numRef>
            </c:plus>
            <c:minus>
              <c:numRef>
                <c:f>('Summary (sem E)'!$C$46,'Summary (sem E)'!$E$46,'Summary (sem E)'!$G$46,'Summary (sem E)'!$I$46)</c:f>
                <c:numCache>
                  <c:formatCode>General</c:formatCode>
                  <c:ptCount val="4"/>
                  <c:pt idx="0">
                    <c:v>1.4164619302051715E-2</c:v>
                  </c:pt>
                  <c:pt idx="1">
                    <c:v>1.3263072359048179E-2</c:v>
                  </c:pt>
                  <c:pt idx="2">
                    <c:v>8.7280663827380631E-2</c:v>
                  </c:pt>
                  <c:pt idx="3">
                    <c:v>3.3780352254089312E-2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('Summary (sem E)'!$B$2,'Summary (sem E)'!$D$2,'Summary (sem E)'!$F$2,'Summary (sem E)'!$H$2)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('Summary (sem E)'!$B$46,'Summary (sem E)'!$D$46,'Summary (sem E)'!$F$46,'Summary (sem E)'!$H$46)</c:f>
              <c:numCache>
                <c:formatCode>0.0000</c:formatCode>
                <c:ptCount val="4"/>
                <c:pt idx="0">
                  <c:v>0.12712408552252732</c:v>
                </c:pt>
                <c:pt idx="1">
                  <c:v>0.14684344983064912</c:v>
                </c:pt>
                <c:pt idx="2">
                  <c:v>0.18415169917301907</c:v>
                </c:pt>
                <c:pt idx="3">
                  <c:v>0.36928012833233714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CE-4AF5-8D9A-C4CE1B527D8A}"/>
            </c:ext>
          </c:extLst>
        </c:ser>
        <c:ser>
          <c:idx val="1"/>
          <c:order val="1"/>
          <c:tx>
            <c:strRef>
              <c:f>'Summary (sem E)'!$A$5</c:f>
              <c:strCache>
                <c:ptCount val="1"/>
                <c:pt idx="0">
                  <c:v>Basal cellulose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('Summary (sem E)'!$C$47,'Summary (sem E)'!$E$47,'Summary (sem E)'!$G$47,'Summary (sem E)'!$I$47)</c:f>
                <c:numCache>
                  <c:formatCode>General</c:formatCode>
                  <c:ptCount val="4"/>
                  <c:pt idx="0">
                    <c:v>1.4164619302051715E-2</c:v>
                  </c:pt>
                  <c:pt idx="1">
                    <c:v>5.1081211235031523E-2</c:v>
                  </c:pt>
                  <c:pt idx="2">
                    <c:v>0.13944577809589684</c:v>
                  </c:pt>
                  <c:pt idx="3">
                    <c:v>7.9245969645917777E-2</c:v>
                  </c:pt>
                </c:numCache>
              </c:numRef>
            </c:plus>
            <c:minus>
              <c:numRef>
                <c:f>('Summary (sem E)'!$C$47,'Summary (sem E)'!$E$47,'Summary (sem E)'!$G$47,'Summary (sem E)'!$I$47)</c:f>
                <c:numCache>
                  <c:formatCode>General</c:formatCode>
                  <c:ptCount val="4"/>
                  <c:pt idx="0">
                    <c:v>1.4164619302051715E-2</c:v>
                  </c:pt>
                  <c:pt idx="1">
                    <c:v>5.1081211235031523E-2</c:v>
                  </c:pt>
                  <c:pt idx="2">
                    <c:v>0.13944577809589684</c:v>
                  </c:pt>
                  <c:pt idx="3">
                    <c:v>7.9245969645917777E-2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('Summary (sem E)'!$B$2,'Summary (sem E)'!$D$2,'Summary (sem E)'!$F$2,'Summary (sem E)'!$H$2)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('Summary (sem E)'!$B$47,'Summary (sem E)'!$D$47,'Summary (sem E)'!$F$47,'Summary (sem E)'!$H$47)</c:f>
              <c:numCache>
                <c:formatCode>0.0000</c:formatCode>
                <c:ptCount val="4"/>
                <c:pt idx="0">
                  <c:v>0.12712408552252732</c:v>
                </c:pt>
                <c:pt idx="1">
                  <c:v>0.16323787349517133</c:v>
                </c:pt>
                <c:pt idx="2">
                  <c:v>0.2792524220430993</c:v>
                </c:pt>
                <c:pt idx="3">
                  <c:v>0.38104958223926605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CE-4AF5-8D9A-C4CE1B527D8A}"/>
            </c:ext>
          </c:extLst>
        </c:ser>
        <c:ser>
          <c:idx val="2"/>
          <c:order val="2"/>
          <c:tx>
            <c:strRef>
              <c:f>'Summary (sem E)'!$A$6</c:f>
              <c:strCache>
                <c:ptCount val="1"/>
                <c:pt idx="0">
                  <c:v>FEED cellulose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('Summary (sem E)'!$C$48,'Summary (sem E)'!$E$48,'Summary (sem E)'!$G$48,'Summary (sem E)'!$I$48)</c:f>
                <c:numCache>
                  <c:formatCode>General</c:formatCode>
                  <c:ptCount val="4"/>
                  <c:pt idx="0">
                    <c:v>0.11699002877733475</c:v>
                  </c:pt>
                  <c:pt idx="1">
                    <c:v>0.2144632409594949</c:v>
                  </c:pt>
                  <c:pt idx="2">
                    <c:v>0.24560999557600413</c:v>
                  </c:pt>
                  <c:pt idx="3">
                    <c:v>0.26547585098108445</c:v>
                  </c:pt>
                </c:numCache>
              </c:numRef>
            </c:plus>
            <c:minus>
              <c:numRef>
                <c:f>('Summary (sem E)'!$C$48,'Summary (sem E)'!$E$48,'Summary (sem E)'!$G$48,'Summary (sem E)'!$I$48)</c:f>
                <c:numCache>
                  <c:formatCode>General</c:formatCode>
                  <c:ptCount val="4"/>
                  <c:pt idx="0">
                    <c:v>0.11699002877733475</c:v>
                  </c:pt>
                  <c:pt idx="1">
                    <c:v>0.2144632409594949</c:v>
                  </c:pt>
                  <c:pt idx="2">
                    <c:v>0.24560999557600413</c:v>
                  </c:pt>
                  <c:pt idx="3">
                    <c:v>0.26547585098108445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('Summary (sem E)'!$B$2,'Summary (sem E)'!$D$2,'Summary (sem E)'!$F$2,'Summary (sem E)'!$H$2)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('Summary (sem E)'!$B$48,'Summary (sem E)'!$D$48,'Summary (sem E)'!$F$48,'Summary (sem E)'!$H$48)</c:f>
              <c:numCache>
                <c:formatCode>0.0000</c:formatCode>
                <c:ptCount val="4"/>
                <c:pt idx="0">
                  <c:v>0.75532178751311174</c:v>
                </c:pt>
                <c:pt idx="1">
                  <c:v>0.84461096512471046</c:v>
                </c:pt>
                <c:pt idx="2">
                  <c:v>0.8054648464700066</c:v>
                </c:pt>
                <c:pt idx="3">
                  <c:v>0.93850852648629557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CE-4AF5-8D9A-C4CE1B527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144592"/>
        <c:axId val="1329145072"/>
      </c:barChart>
      <c:catAx>
        <c:axId val="132914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5072"/>
        <c:crosses val="autoZero"/>
        <c:auto val="1"/>
        <c:lblAlgn val="ctr"/>
        <c:lblOffset val="100"/>
        <c:noMultiLvlLbl val="0"/>
      </c:catAx>
      <c:valAx>
        <c:axId val="1329145072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N-valeric acid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(sem E)'!$A$4</c:f>
              <c:strCache>
                <c:ptCount val="1"/>
                <c:pt idx="0">
                  <c:v>Negative control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('Summary (sem E)'!$C$53,'Summary (sem E)'!$E$53,'Summary (sem E)'!$G$53,'Summary (sem E)'!$I$53)</c:f>
                <c:numCache>
                  <c:formatCode>General</c:formatCode>
                  <c:ptCount val="4"/>
                  <c:pt idx="0">
                    <c:v>0.15546540322021205</c:v>
                  </c:pt>
                  <c:pt idx="1">
                    <c:v>0.18694648011990928</c:v>
                  </c:pt>
                  <c:pt idx="2">
                    <c:v>9.241802892766128E-2</c:v>
                  </c:pt>
                  <c:pt idx="3">
                    <c:v>0.18387019829432158</c:v>
                  </c:pt>
                </c:numCache>
              </c:numRef>
            </c:plus>
            <c:minus>
              <c:numRef>
                <c:f>('Summary (sem E)'!$C$53,'Summary (sem E)'!$E$53,'Summary (sem E)'!$G$53,'Summary (sem E)'!$I$53)</c:f>
                <c:numCache>
                  <c:formatCode>General</c:formatCode>
                  <c:ptCount val="4"/>
                  <c:pt idx="0">
                    <c:v>0.15546540322021205</c:v>
                  </c:pt>
                  <c:pt idx="1">
                    <c:v>0.18694648011990928</c:v>
                  </c:pt>
                  <c:pt idx="2">
                    <c:v>9.241802892766128E-2</c:v>
                  </c:pt>
                  <c:pt idx="3">
                    <c:v>0.18387019829432158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('Summary (sem E)'!$B$2,'Summary (sem E)'!$D$2,'Summary (sem E)'!$F$2,'Summary (sem E)'!$H$2)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('Summary (sem E)'!$B$53,'Summary (sem E)'!$D$53,'Summary (sem E)'!$F$53,'Summary (sem E)'!$H$53)</c:f>
              <c:numCache>
                <c:formatCode>0.0000</c:formatCode>
                <c:ptCount val="4"/>
                <c:pt idx="0">
                  <c:v>1.8049123773361933</c:v>
                </c:pt>
                <c:pt idx="1">
                  <c:v>2.0200815452724048</c:v>
                </c:pt>
                <c:pt idx="2">
                  <c:v>2.1710017693157897</c:v>
                </c:pt>
                <c:pt idx="3">
                  <c:v>2.2255086162579318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7A-4D07-848B-BC3D000F7E1D}"/>
            </c:ext>
          </c:extLst>
        </c:ser>
        <c:ser>
          <c:idx val="1"/>
          <c:order val="1"/>
          <c:tx>
            <c:strRef>
              <c:f>'Summary (sem E)'!$A$5</c:f>
              <c:strCache>
                <c:ptCount val="1"/>
                <c:pt idx="0">
                  <c:v>Basal cellulose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('Summary (sem E)'!$C$54,'Summary (sem E)'!$E$54,'Summary (sem E)'!$G$54,'Summary (sem E)'!$I$54)</c:f>
                <c:numCache>
                  <c:formatCode>General</c:formatCode>
                  <c:ptCount val="4"/>
                  <c:pt idx="0">
                    <c:v>0.15546540322021205</c:v>
                  </c:pt>
                  <c:pt idx="1">
                    <c:v>0.43685675625745063</c:v>
                  </c:pt>
                  <c:pt idx="2">
                    <c:v>9.1705081474088179E-2</c:v>
                  </c:pt>
                  <c:pt idx="3">
                    <c:v>0.1375248533331549</c:v>
                  </c:pt>
                </c:numCache>
              </c:numRef>
            </c:plus>
            <c:minus>
              <c:numRef>
                <c:f>('Summary (sem E)'!$C$54,'Summary (sem E)'!$E$54,'Summary (sem E)'!$G$54,'Summary (sem E)'!$I$54)</c:f>
                <c:numCache>
                  <c:formatCode>General</c:formatCode>
                  <c:ptCount val="4"/>
                  <c:pt idx="0">
                    <c:v>0.15546540322021205</c:v>
                  </c:pt>
                  <c:pt idx="1">
                    <c:v>0.43685675625745063</c:v>
                  </c:pt>
                  <c:pt idx="2">
                    <c:v>9.1705081474088179E-2</c:v>
                  </c:pt>
                  <c:pt idx="3">
                    <c:v>0.1375248533331549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('Summary (sem E)'!$B$2,'Summary (sem E)'!$D$2,'Summary (sem E)'!$F$2,'Summary (sem E)'!$H$2)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('Summary (sem E)'!$B$54,'Summary (sem E)'!$D$54,'Summary (sem E)'!$F$54,'Summary (sem E)'!$H$54)</c:f>
              <c:numCache>
                <c:formatCode>0.0000</c:formatCode>
                <c:ptCount val="4"/>
                <c:pt idx="0">
                  <c:v>1.8049123773361933</c:v>
                </c:pt>
                <c:pt idx="1">
                  <c:v>1.586125954411437</c:v>
                </c:pt>
                <c:pt idx="2">
                  <c:v>1.7891600207515519</c:v>
                </c:pt>
                <c:pt idx="3">
                  <c:v>1.9363206620377365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7A-4D07-848B-BC3D000F7E1D}"/>
            </c:ext>
          </c:extLst>
        </c:ser>
        <c:ser>
          <c:idx val="2"/>
          <c:order val="2"/>
          <c:tx>
            <c:strRef>
              <c:f>'Summary (sem E)'!$A$6</c:f>
              <c:strCache>
                <c:ptCount val="1"/>
                <c:pt idx="0">
                  <c:v>FEED cellulose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('Summary (sem E)'!$C$55,'Summary (sem E)'!$E$55,'Summary (sem E)'!$G$55,'Summary (sem E)'!$I$55)</c:f>
                <c:numCache>
                  <c:formatCode>General</c:formatCode>
                  <c:ptCount val="4"/>
                  <c:pt idx="0">
                    <c:v>0.41303322852803981</c:v>
                  </c:pt>
                  <c:pt idx="1">
                    <c:v>0.68270563954965524</c:v>
                  </c:pt>
                  <c:pt idx="2">
                    <c:v>0.2913348026746464</c:v>
                  </c:pt>
                  <c:pt idx="3">
                    <c:v>0.64378229161796774</c:v>
                  </c:pt>
                </c:numCache>
              </c:numRef>
            </c:plus>
            <c:minus>
              <c:numRef>
                <c:f>('Summary (sem E)'!$C$55,'Summary (sem E)'!$E$55,'Summary (sem E)'!$G$55,'Summary (sem E)'!$I$55)</c:f>
                <c:numCache>
                  <c:formatCode>General</c:formatCode>
                  <c:ptCount val="4"/>
                  <c:pt idx="0">
                    <c:v>0.41303322852803981</c:v>
                  </c:pt>
                  <c:pt idx="1">
                    <c:v>0.68270563954965524</c:v>
                  </c:pt>
                  <c:pt idx="2">
                    <c:v>0.2913348026746464</c:v>
                  </c:pt>
                  <c:pt idx="3">
                    <c:v>0.64378229161796774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('Summary (sem E)'!$B$2,'Summary (sem E)'!$D$2,'Summary (sem E)'!$F$2,'Summary (sem E)'!$H$2)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('Summary (sem E)'!$B$55,'Summary (sem E)'!$D$55,'Summary (sem E)'!$F$55,'Summary (sem E)'!$H$55)</c:f>
              <c:numCache>
                <c:formatCode>0.0000</c:formatCode>
                <c:ptCount val="4"/>
                <c:pt idx="0">
                  <c:v>4.8311322199839779</c:v>
                </c:pt>
                <c:pt idx="1">
                  <c:v>4.6419876850715802</c:v>
                </c:pt>
                <c:pt idx="2">
                  <c:v>4.8770272955293175</c:v>
                </c:pt>
                <c:pt idx="3">
                  <c:v>5.2445183978324517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7A-4D07-848B-BC3D000F7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144592"/>
        <c:axId val="1329145072"/>
      </c:barChart>
      <c:catAx>
        <c:axId val="132914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5072"/>
        <c:crosses val="autoZero"/>
        <c:auto val="1"/>
        <c:lblAlgn val="ctr"/>
        <c:lblOffset val="100"/>
        <c:noMultiLvlLbl val="0"/>
      </c:catAx>
      <c:valAx>
        <c:axId val="1329145072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Iso-caproic acid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(sem E)'!$A$4</c:f>
              <c:strCache>
                <c:ptCount val="1"/>
                <c:pt idx="0">
                  <c:v>Negative control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('Summary (sem E)'!$C$60,'Summary (sem E)'!$E$60,'Summary (sem E)'!$G$60,'Summary (sem E)'!$I$60)</c:f>
                <c:numCache>
                  <c:formatCode>General</c:formatCode>
                  <c:ptCount val="4"/>
                  <c:pt idx="0">
                    <c:v>4.8318596512945754E-2</c:v>
                  </c:pt>
                  <c:pt idx="1">
                    <c:v>0.13449766111311018</c:v>
                  </c:pt>
                  <c:pt idx="2">
                    <c:v>0.15174958738104416</c:v>
                  </c:pt>
                  <c:pt idx="3">
                    <c:v>0.18489118196504134</c:v>
                  </c:pt>
                </c:numCache>
              </c:numRef>
            </c:plus>
            <c:minus>
              <c:numRef>
                <c:f>('Summary (sem E)'!$C$60,'Summary (sem E)'!$E$60,'Summary (sem E)'!$G$60,'Summary (sem E)'!$I$60)</c:f>
                <c:numCache>
                  <c:formatCode>General</c:formatCode>
                  <c:ptCount val="4"/>
                  <c:pt idx="0">
                    <c:v>4.8318596512945754E-2</c:v>
                  </c:pt>
                  <c:pt idx="1">
                    <c:v>0.13449766111311018</c:v>
                  </c:pt>
                  <c:pt idx="2">
                    <c:v>0.15174958738104416</c:v>
                  </c:pt>
                  <c:pt idx="3">
                    <c:v>0.18489118196504134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('Summary (sem E)'!$B$2,'Summary (sem E)'!$D$2,'Summary (sem E)'!$F$2,'Summary (sem E)'!$H$2)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('Summary (sem E)'!$B$60,'Summary (sem E)'!$D$60,'Summary (sem E)'!$F$60,'Summary (sem E)'!$H$60)</c:f>
              <c:numCache>
                <c:formatCode>0.0000</c:formatCode>
                <c:ptCount val="4"/>
                <c:pt idx="0">
                  <c:v>0.30044467263995983</c:v>
                </c:pt>
                <c:pt idx="1">
                  <c:v>0.33947424550667599</c:v>
                </c:pt>
                <c:pt idx="2">
                  <c:v>0.33309203183565095</c:v>
                </c:pt>
                <c:pt idx="3">
                  <c:v>0.42313796669930942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C2-49B9-963C-79106703B4FA}"/>
            </c:ext>
          </c:extLst>
        </c:ser>
        <c:ser>
          <c:idx val="1"/>
          <c:order val="1"/>
          <c:tx>
            <c:strRef>
              <c:f>'Summary (sem E)'!$A$5</c:f>
              <c:strCache>
                <c:ptCount val="1"/>
                <c:pt idx="0">
                  <c:v>Basal cellulose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('Summary (sem E)'!$C$61,'Summary (sem E)'!$E$61,'Summary (sem E)'!$G$61,'Summary (sem E)'!$I$61)</c:f>
                <c:numCache>
                  <c:formatCode>General</c:formatCode>
                  <c:ptCount val="4"/>
                  <c:pt idx="0">
                    <c:v>4.8318596512945754E-2</c:v>
                  </c:pt>
                  <c:pt idx="1">
                    <c:v>7.5691640353669723E-2</c:v>
                  </c:pt>
                  <c:pt idx="2">
                    <c:v>8.5335103254545755E-2</c:v>
                  </c:pt>
                  <c:pt idx="3">
                    <c:v>6.2275194176976002E-2</c:v>
                  </c:pt>
                </c:numCache>
              </c:numRef>
            </c:plus>
            <c:minus>
              <c:numRef>
                <c:f>('Summary (sem E)'!$C$61,'Summary (sem E)'!$E$61,'Summary (sem E)'!$G$61,'Summary (sem E)'!$I$61)</c:f>
                <c:numCache>
                  <c:formatCode>General</c:formatCode>
                  <c:ptCount val="4"/>
                  <c:pt idx="0">
                    <c:v>4.8318596512945754E-2</c:v>
                  </c:pt>
                  <c:pt idx="1">
                    <c:v>7.5691640353669723E-2</c:v>
                  </c:pt>
                  <c:pt idx="2">
                    <c:v>8.5335103254545755E-2</c:v>
                  </c:pt>
                  <c:pt idx="3">
                    <c:v>6.2275194176976002E-2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('Summary (sem E)'!$B$2,'Summary (sem E)'!$D$2,'Summary (sem E)'!$F$2,'Summary (sem E)'!$H$2)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('Summary (sem E)'!$B$61,'Summary (sem E)'!$D$61,'Summary (sem E)'!$F$61,'Summary (sem E)'!$H$61)</c:f>
              <c:numCache>
                <c:formatCode>0.0000</c:formatCode>
                <c:ptCount val="4"/>
                <c:pt idx="0">
                  <c:v>0.30044467263995983</c:v>
                </c:pt>
                <c:pt idx="1">
                  <c:v>0.36931492796084286</c:v>
                </c:pt>
                <c:pt idx="2">
                  <c:v>0.38051015463326143</c:v>
                </c:pt>
                <c:pt idx="3">
                  <c:v>0.40217312799878835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C2-49B9-963C-79106703B4FA}"/>
            </c:ext>
          </c:extLst>
        </c:ser>
        <c:ser>
          <c:idx val="2"/>
          <c:order val="2"/>
          <c:tx>
            <c:strRef>
              <c:f>'Summary (sem E)'!$A$6</c:f>
              <c:strCache>
                <c:ptCount val="1"/>
                <c:pt idx="0">
                  <c:v>FEED cellulose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('Summary (sem E)'!$C$62,'Summary (sem E)'!$E$62,'Summary (sem E)'!$G$62,'Summary (sem E)'!$I$62)</c:f>
                <c:numCache>
                  <c:formatCode>General</c:formatCode>
                  <c:ptCount val="4"/>
                  <c:pt idx="0">
                    <c:v>1.1650243619028161E-2</c:v>
                  </c:pt>
                  <c:pt idx="1">
                    <c:v>0.46824999014736313</c:v>
                  </c:pt>
                  <c:pt idx="2">
                    <c:v>0.28927741412077251</c:v>
                  </c:pt>
                  <c:pt idx="3">
                    <c:v>0.63503551560313964</c:v>
                  </c:pt>
                </c:numCache>
              </c:numRef>
            </c:plus>
            <c:minus>
              <c:numRef>
                <c:f>('Summary (sem E)'!$C$62,'Summary (sem E)'!$E$62,'Summary (sem E)'!$G$62,'Summary (sem E)'!$I$62)</c:f>
                <c:numCache>
                  <c:formatCode>General</c:formatCode>
                  <c:ptCount val="4"/>
                  <c:pt idx="0">
                    <c:v>1.1650243619028161E-2</c:v>
                  </c:pt>
                  <c:pt idx="1">
                    <c:v>0.46824999014736313</c:v>
                  </c:pt>
                  <c:pt idx="2">
                    <c:v>0.28927741412077251</c:v>
                  </c:pt>
                  <c:pt idx="3">
                    <c:v>0.63503551560313964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('Summary (sem E)'!$B$2,'Summary (sem E)'!$D$2,'Summary (sem E)'!$F$2,'Summary (sem E)'!$H$2)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('Summary (sem E)'!$B$62,'Summary (sem E)'!$D$62,'Summary (sem E)'!$F$62,'Summary (sem E)'!$H$62)</c:f>
              <c:numCache>
                <c:formatCode>0.0000</c:formatCode>
                <c:ptCount val="4"/>
                <c:pt idx="0">
                  <c:v>0.23713797256342656</c:v>
                </c:pt>
                <c:pt idx="1">
                  <c:v>0.51543327947791284</c:v>
                </c:pt>
                <c:pt idx="2">
                  <c:v>0.87494022266561244</c:v>
                </c:pt>
                <c:pt idx="3">
                  <c:v>1.0252462883673936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C2-49B9-963C-79106703B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144592"/>
        <c:axId val="1329145072"/>
      </c:barChart>
      <c:catAx>
        <c:axId val="132914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5072"/>
        <c:crosses val="autoZero"/>
        <c:auto val="1"/>
        <c:lblAlgn val="ctr"/>
        <c:lblOffset val="100"/>
        <c:noMultiLvlLbl val="0"/>
      </c:catAx>
      <c:valAx>
        <c:axId val="1329145072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N-caproic acid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(sem E)'!$A$4</c:f>
              <c:strCache>
                <c:ptCount val="1"/>
                <c:pt idx="0">
                  <c:v>Negative control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('Summary (sem E)'!$C$67,'Summary (sem E)'!$E$67,'Summary (sem E)'!$G$67,'Summary (sem E)'!$I$67)</c:f>
                <c:numCache>
                  <c:formatCode>General</c:formatCode>
                  <c:ptCount val="4"/>
                  <c:pt idx="0">
                    <c:v>2.723576943628046E-2</c:v>
                  </c:pt>
                  <c:pt idx="1">
                    <c:v>1.5621650517997967E-2</c:v>
                  </c:pt>
                  <c:pt idx="2">
                    <c:v>2.9784021755462454E-2</c:v>
                  </c:pt>
                  <c:pt idx="3">
                    <c:v>1.2677606592026287E-2</c:v>
                  </c:pt>
                </c:numCache>
              </c:numRef>
            </c:plus>
            <c:minus>
              <c:numRef>
                <c:f>('Summary (sem E)'!$C$67,'Summary (sem E)'!$E$67,'Summary (sem E)'!$G$67,'Summary (sem E)'!$I$67)</c:f>
                <c:numCache>
                  <c:formatCode>General</c:formatCode>
                  <c:ptCount val="4"/>
                  <c:pt idx="0">
                    <c:v>2.723576943628046E-2</c:v>
                  </c:pt>
                  <c:pt idx="1">
                    <c:v>1.5621650517997967E-2</c:v>
                  </c:pt>
                  <c:pt idx="2">
                    <c:v>2.9784021755462454E-2</c:v>
                  </c:pt>
                  <c:pt idx="3">
                    <c:v>1.2677606592026287E-2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('Summary (sem E)'!$B$2,'Summary (sem E)'!$D$2,'Summary (sem E)'!$F$2,'Summary (sem E)'!$H$2)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('Summary (sem E)'!$B$67,'Summary (sem E)'!$D$67,'Summary (sem E)'!$F$67,'Summary (sem E)'!$H$67)</c:f>
              <c:numCache>
                <c:formatCode>0.0000</c:formatCode>
                <c:ptCount val="4"/>
                <c:pt idx="0">
                  <c:v>0.11808057801833872</c:v>
                </c:pt>
                <c:pt idx="1">
                  <c:v>0.11715058216420812</c:v>
                </c:pt>
                <c:pt idx="2">
                  <c:v>0.11959566608440619</c:v>
                </c:pt>
                <c:pt idx="3">
                  <c:v>7.9560756209834743E-2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83-46F6-AFC9-4C95D2DE0FB2}"/>
            </c:ext>
          </c:extLst>
        </c:ser>
        <c:ser>
          <c:idx val="1"/>
          <c:order val="1"/>
          <c:tx>
            <c:strRef>
              <c:f>'Summary (sem E)'!$A$5</c:f>
              <c:strCache>
                <c:ptCount val="1"/>
                <c:pt idx="0">
                  <c:v>Basal cellulose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('Summary (sem E)'!$C$68,'Summary (sem E)'!$E$68,'Summary (sem E)'!$G$68,'Summary (sem E)'!$I$68)</c:f>
                <c:numCache>
                  <c:formatCode>General</c:formatCode>
                  <c:ptCount val="4"/>
                  <c:pt idx="0">
                    <c:v>3.4376234763369332E-2</c:v>
                  </c:pt>
                  <c:pt idx="1">
                    <c:v>6.5833550661870931E-3</c:v>
                  </c:pt>
                  <c:pt idx="2">
                    <c:v>1.3510155254969241E-2</c:v>
                  </c:pt>
                  <c:pt idx="3">
                    <c:v>9.0343769333251483E-3</c:v>
                  </c:pt>
                </c:numCache>
              </c:numRef>
            </c:plus>
            <c:minus>
              <c:numRef>
                <c:f>('Summary (sem E)'!$C$68,'Summary (sem E)'!$E$68,'Summary (sem E)'!$G$68,'Summary (sem E)'!$I$68)</c:f>
                <c:numCache>
                  <c:formatCode>General</c:formatCode>
                  <c:ptCount val="4"/>
                  <c:pt idx="0">
                    <c:v>3.4376234763369332E-2</c:v>
                  </c:pt>
                  <c:pt idx="1">
                    <c:v>6.5833550661870931E-3</c:v>
                  </c:pt>
                  <c:pt idx="2">
                    <c:v>1.3510155254969241E-2</c:v>
                  </c:pt>
                  <c:pt idx="3">
                    <c:v>9.0343769333251483E-3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('Summary (sem E)'!$B$2,'Summary (sem E)'!$D$2,'Summary (sem E)'!$F$2,'Summary (sem E)'!$H$2)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('Summary (sem E)'!$B$68,'Summary (sem E)'!$D$68,'Summary (sem E)'!$F$68,'Summary (sem E)'!$H$68)</c:f>
              <c:numCache>
                <c:formatCode>0.0000</c:formatCode>
                <c:ptCount val="4"/>
                <c:pt idx="0">
                  <c:v>0.10689679365063376</c:v>
                </c:pt>
                <c:pt idx="1">
                  <c:v>8.2337553035067443E-2</c:v>
                </c:pt>
                <c:pt idx="2">
                  <c:v>7.8185628729145557E-2</c:v>
                </c:pt>
                <c:pt idx="3">
                  <c:v>6.8428899719463587E-2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83-46F6-AFC9-4C95D2DE0FB2}"/>
            </c:ext>
          </c:extLst>
        </c:ser>
        <c:ser>
          <c:idx val="2"/>
          <c:order val="2"/>
          <c:tx>
            <c:strRef>
              <c:f>'Summary (sem E)'!$A$6</c:f>
              <c:strCache>
                <c:ptCount val="1"/>
                <c:pt idx="0">
                  <c:v>FEED cellulose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('Summary (sem E)'!$C$69,'Summary (sem E)'!$E$69,'Summary (sem E)'!$G$69,'Summary (sem E)'!$I$69)</c:f>
                <c:numCache>
                  <c:formatCode>General</c:formatCode>
                  <c:ptCount val="4"/>
                  <c:pt idx="0">
                    <c:v>6.2110141240060569E-2</c:v>
                  </c:pt>
                  <c:pt idx="1">
                    <c:v>2.9288036674650131E-2</c:v>
                  </c:pt>
                  <c:pt idx="2">
                    <c:v>3.0629150780860818E-2</c:v>
                  </c:pt>
                  <c:pt idx="3">
                    <c:v>3.1938486719861402E-2</c:v>
                  </c:pt>
                </c:numCache>
              </c:numRef>
            </c:plus>
            <c:minus>
              <c:numRef>
                <c:f>('Summary (sem E)'!$C$69,'Summary (sem E)'!$E$69,'Summary (sem E)'!$G$69,'Summary (sem E)'!$I$69)</c:f>
                <c:numCache>
                  <c:formatCode>General</c:formatCode>
                  <c:ptCount val="4"/>
                  <c:pt idx="0">
                    <c:v>6.2110141240060569E-2</c:v>
                  </c:pt>
                  <c:pt idx="1">
                    <c:v>2.9288036674650131E-2</c:v>
                  </c:pt>
                  <c:pt idx="2">
                    <c:v>3.0629150780860818E-2</c:v>
                  </c:pt>
                  <c:pt idx="3">
                    <c:v>3.1938486719861402E-2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('Summary (sem E)'!$B$2,'Summary (sem E)'!$D$2,'Summary (sem E)'!$F$2,'Summary (sem E)'!$H$2)</c:f>
              <c:strCache>
                <c:ptCount val="4"/>
                <c:pt idx="0">
                  <c:v> 0h</c:v>
                </c:pt>
                <c:pt idx="1">
                  <c:v>12h</c:v>
                </c:pt>
                <c:pt idx="2">
                  <c:v>24h</c:v>
                </c:pt>
                <c:pt idx="3">
                  <c:v>48h</c:v>
                </c:pt>
              </c:strCache>
            </c:strRef>
          </c:cat>
          <c:val>
            <c:numRef>
              <c:f>('Summary (sem E)'!$B$69,'Summary (sem E)'!$D$69,'Summary (sem E)'!$F$69,'Summary (sem E)'!$H$69)</c:f>
              <c:numCache>
                <c:formatCode>0.0000</c:formatCode>
                <c:ptCount val="4"/>
                <c:pt idx="0">
                  <c:v>0.10039530478893631</c:v>
                </c:pt>
                <c:pt idx="1">
                  <c:v>6.0972090737788441E-2</c:v>
                </c:pt>
                <c:pt idx="2">
                  <c:v>6.1796417130044426E-2</c:v>
                </c:pt>
                <c:pt idx="3">
                  <c:v>5.9385721954359698E-2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83-46F6-AFC9-4C95D2DE0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144592"/>
        <c:axId val="1329145072"/>
      </c:barChart>
      <c:catAx>
        <c:axId val="132914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5072"/>
        <c:crosses val="autoZero"/>
        <c:auto val="1"/>
        <c:lblAlgn val="ctr"/>
        <c:lblOffset val="100"/>
        <c:noMultiLvlLbl val="0"/>
      </c:catAx>
      <c:valAx>
        <c:axId val="13291450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4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10" Type="http://schemas.openxmlformats.org/officeDocument/2006/relationships/chart" Target="../charts/chart24.xml"/><Relationship Id="rId4" Type="http://schemas.openxmlformats.org/officeDocument/2006/relationships/chart" Target="../charts/chart18.xml"/><Relationship Id="rId9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600075</xdr:colOff>
      <xdr:row>16</xdr:row>
      <xdr:rowOff>128587</xdr:rowOff>
    </xdr:from>
    <xdr:to>
      <xdr:col>18</xdr:col>
      <xdr:colOff>295275</xdr:colOff>
      <xdr:row>30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A96096B-EF59-451D-80B9-30862303C8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600075</xdr:colOff>
      <xdr:row>8</xdr:row>
      <xdr:rowOff>128587</xdr:rowOff>
    </xdr:from>
    <xdr:to>
      <xdr:col>18</xdr:col>
      <xdr:colOff>295275</xdr:colOff>
      <xdr:row>22</xdr:row>
      <xdr:rowOff>142875</xdr:rowOff>
    </xdr:to>
    <xdr:graphicFrame macro="">
      <xdr:nvGraphicFramePr>
        <xdr:cNvPr id="5" name="Gráfico 1">
          <a:extLst>
            <a:ext uri="{FF2B5EF4-FFF2-40B4-BE49-F238E27FC236}">
              <a16:creationId xmlns:a16="http://schemas.microsoft.com/office/drawing/2014/main" id="{DA40DBE7-89F1-9B05-EBCD-671037B680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4762</xdr:rowOff>
    </xdr:from>
    <xdr:to>
      <xdr:col>17</xdr:col>
      <xdr:colOff>304800</xdr:colOff>
      <xdr:row>19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B53502E-7F8E-4814-B5B6-DCA4823CD3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1</xdr:row>
      <xdr:rowOff>0</xdr:rowOff>
    </xdr:from>
    <xdr:to>
      <xdr:col>25</xdr:col>
      <xdr:colOff>304800</xdr:colOff>
      <xdr:row>19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025C43B-1DDC-4153-8288-E02A47603B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20</xdr:row>
      <xdr:rowOff>0</xdr:rowOff>
    </xdr:from>
    <xdr:to>
      <xdr:col>17</xdr:col>
      <xdr:colOff>304800</xdr:colOff>
      <xdr:row>38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363875F-EBA7-4AF3-A277-7324B8FD4F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20</xdr:row>
      <xdr:rowOff>0</xdr:rowOff>
    </xdr:from>
    <xdr:to>
      <xdr:col>25</xdr:col>
      <xdr:colOff>304800</xdr:colOff>
      <xdr:row>38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1978D97-F650-4469-B03B-71DB338E7B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39</xdr:row>
      <xdr:rowOff>0</xdr:rowOff>
    </xdr:from>
    <xdr:to>
      <xdr:col>17</xdr:col>
      <xdr:colOff>304800</xdr:colOff>
      <xdr:row>57</xdr:row>
      <xdr:rowOff>76200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F9F37B0-C630-4638-9D52-CBFE0A8D0C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0</xdr:colOff>
      <xdr:row>39</xdr:row>
      <xdr:rowOff>0</xdr:rowOff>
    </xdr:from>
    <xdr:to>
      <xdr:col>25</xdr:col>
      <xdr:colOff>304800</xdr:colOff>
      <xdr:row>57</xdr:row>
      <xdr:rowOff>76200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9F6F380-4EEB-47F3-9212-92A197B64C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17</xdr:col>
      <xdr:colOff>304800</xdr:colOff>
      <xdr:row>79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C237257-E04F-4322-99AD-4F830FADA7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25</xdr:col>
      <xdr:colOff>304800</xdr:colOff>
      <xdr:row>79</xdr:row>
      <xdr:rowOff>76200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2589D7FE-5F37-46DE-BCD4-9B9AA739FC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0</xdr:colOff>
      <xdr:row>80</xdr:row>
      <xdr:rowOff>0</xdr:rowOff>
    </xdr:from>
    <xdr:to>
      <xdr:col>17</xdr:col>
      <xdr:colOff>304800</xdr:colOff>
      <xdr:row>95</xdr:row>
      <xdr:rowOff>76200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11ADF700-F308-4138-8DCE-226F274289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0</xdr:colOff>
      <xdr:row>80</xdr:row>
      <xdr:rowOff>0</xdr:rowOff>
    </xdr:from>
    <xdr:to>
      <xdr:col>25</xdr:col>
      <xdr:colOff>304800</xdr:colOff>
      <xdr:row>95</xdr:row>
      <xdr:rowOff>76200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B15C5300-1548-4262-8DE7-0F63F5A677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1264227</xdr:colOff>
      <xdr:row>110</xdr:row>
      <xdr:rowOff>45798</xdr:rowOff>
    </xdr:from>
    <xdr:to>
      <xdr:col>13</xdr:col>
      <xdr:colOff>696960</xdr:colOff>
      <xdr:row>144</xdr:row>
      <xdr:rowOff>54264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D28FD255-5FBA-174C-B0E1-2449B5424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1303420</xdr:colOff>
      <xdr:row>109</xdr:row>
      <xdr:rowOff>144825</xdr:rowOff>
    </xdr:from>
    <xdr:to>
      <xdr:col>24</xdr:col>
      <xdr:colOff>101153</xdr:colOff>
      <xdr:row>143</xdr:row>
      <xdr:rowOff>153291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E5181DB6-B973-5345-87D6-5BF648A936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4762</xdr:rowOff>
    </xdr:from>
    <xdr:to>
      <xdr:col>17</xdr:col>
      <xdr:colOff>304800</xdr:colOff>
      <xdr:row>15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09F9DEA-EB61-4153-A7D5-0948EDD289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1</xdr:row>
      <xdr:rowOff>0</xdr:rowOff>
    </xdr:from>
    <xdr:to>
      <xdr:col>25</xdr:col>
      <xdr:colOff>304800</xdr:colOff>
      <xdr:row>15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3D4C047-983B-48C7-BEFC-347CA6BA55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16</xdr:row>
      <xdr:rowOff>0</xdr:rowOff>
    </xdr:from>
    <xdr:to>
      <xdr:col>17</xdr:col>
      <xdr:colOff>304800</xdr:colOff>
      <xdr:row>30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9A5BE74-1501-446C-9779-18B48F2603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16</xdr:row>
      <xdr:rowOff>0</xdr:rowOff>
    </xdr:from>
    <xdr:to>
      <xdr:col>25</xdr:col>
      <xdr:colOff>304800</xdr:colOff>
      <xdr:row>30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4F20AF2-3C92-4071-AA30-9A6ED48340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31</xdr:row>
      <xdr:rowOff>0</xdr:rowOff>
    </xdr:from>
    <xdr:to>
      <xdr:col>17</xdr:col>
      <xdr:colOff>304800</xdr:colOff>
      <xdr:row>45</xdr:row>
      <xdr:rowOff>76200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2014A1B-0BF7-4E56-BAA1-F358E3AC3B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0</xdr:colOff>
      <xdr:row>31</xdr:row>
      <xdr:rowOff>0</xdr:rowOff>
    </xdr:from>
    <xdr:to>
      <xdr:col>25</xdr:col>
      <xdr:colOff>304800</xdr:colOff>
      <xdr:row>45</xdr:row>
      <xdr:rowOff>76200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2C2BE8E-1ECD-4973-B6D0-5C118D5215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0</xdr:colOff>
      <xdr:row>46</xdr:row>
      <xdr:rowOff>0</xdr:rowOff>
    </xdr:from>
    <xdr:to>
      <xdr:col>17</xdr:col>
      <xdr:colOff>304800</xdr:colOff>
      <xdr:row>60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D1A8B8E-1468-4E56-A540-05A567797A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0</xdr:colOff>
      <xdr:row>46</xdr:row>
      <xdr:rowOff>0</xdr:rowOff>
    </xdr:from>
    <xdr:to>
      <xdr:col>25</xdr:col>
      <xdr:colOff>304800</xdr:colOff>
      <xdr:row>60</xdr:row>
      <xdr:rowOff>76200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9919736-FE12-4439-B7F5-3D3AB81414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17</xdr:col>
      <xdr:colOff>304800</xdr:colOff>
      <xdr:row>75</xdr:row>
      <xdr:rowOff>76200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431DDA45-DDD2-4B9F-B0A1-A7EFC0AF55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25</xdr:col>
      <xdr:colOff>304800</xdr:colOff>
      <xdr:row>75</xdr:row>
      <xdr:rowOff>76200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7B01CBA0-FC7C-4FE0-B69A-5F1AE2C3C0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CCF5D-E3C5-4D88-B34E-364BE344F4CD}">
  <dimension ref="A1:U23"/>
  <sheetViews>
    <sheetView topLeftCell="A6" workbookViewId="0">
      <selection activeCell="A3" sqref="A3:A7"/>
    </sheetView>
  </sheetViews>
  <sheetFormatPr baseColWidth="10" defaultColWidth="9.1640625" defaultRowHeight="15" x14ac:dyDescent="0.2"/>
  <cols>
    <col min="1" max="1" width="15.83203125" bestFit="1" customWidth="1"/>
    <col min="4" max="4" width="9.5" bestFit="1" customWidth="1"/>
    <col min="8" max="8" width="9.5" bestFit="1" customWidth="1"/>
  </cols>
  <sheetData>
    <row r="1" spans="1:21" x14ac:dyDescent="0.2">
      <c r="B1" s="120" t="s">
        <v>0</v>
      </c>
      <c r="C1" s="121"/>
      <c r="D1" s="121"/>
      <c r="E1" s="122"/>
      <c r="F1" s="120" t="s">
        <v>1</v>
      </c>
      <c r="G1" s="121"/>
      <c r="H1" s="121"/>
      <c r="I1" s="122"/>
      <c r="J1" s="120" t="s">
        <v>2</v>
      </c>
      <c r="K1" s="121"/>
      <c r="L1" s="121"/>
      <c r="M1" s="122"/>
      <c r="N1" s="120" t="s">
        <v>3</v>
      </c>
      <c r="O1" s="121"/>
      <c r="P1" s="121"/>
      <c r="Q1" s="122"/>
      <c r="R1" s="120" t="s">
        <v>4</v>
      </c>
      <c r="S1" s="121"/>
      <c r="T1" s="121"/>
      <c r="U1" s="122"/>
    </row>
    <row r="2" spans="1:21" x14ac:dyDescent="0.2">
      <c r="B2" s="3" t="s">
        <v>5</v>
      </c>
      <c r="C2" s="4" t="s">
        <v>6</v>
      </c>
      <c r="D2" s="3" t="s">
        <v>7</v>
      </c>
      <c r="E2" s="116" t="s">
        <v>8</v>
      </c>
      <c r="F2" s="4" t="s">
        <v>5</v>
      </c>
      <c r="G2" s="3" t="s">
        <v>6</v>
      </c>
      <c r="H2" s="116" t="s">
        <v>7</v>
      </c>
      <c r="I2" s="4" t="s">
        <v>8</v>
      </c>
      <c r="J2" s="3" t="s">
        <v>5</v>
      </c>
      <c r="K2" s="116" t="s">
        <v>6</v>
      </c>
      <c r="L2" s="4" t="s">
        <v>7</v>
      </c>
      <c r="M2" s="3" t="s">
        <v>8</v>
      </c>
      <c r="N2" s="116" t="s">
        <v>5</v>
      </c>
      <c r="O2" s="4" t="s">
        <v>6</v>
      </c>
      <c r="P2" s="3" t="s">
        <v>7</v>
      </c>
      <c r="Q2" s="116" t="s">
        <v>8</v>
      </c>
      <c r="R2" s="4" t="s">
        <v>5</v>
      </c>
      <c r="S2" s="3" t="s">
        <v>6</v>
      </c>
      <c r="T2" s="3" t="s">
        <v>7</v>
      </c>
      <c r="U2" s="116" t="s">
        <v>8</v>
      </c>
    </row>
    <row r="3" spans="1:21" x14ac:dyDescent="0.2">
      <c r="A3" s="98" t="s">
        <v>9</v>
      </c>
      <c r="B3" s="92">
        <v>0.157</v>
      </c>
      <c r="C3" s="94">
        <v>0.18099999999999999</v>
      </c>
      <c r="D3" s="92">
        <v>0.154</v>
      </c>
      <c r="E3" s="95">
        <v>0.14599999999999999</v>
      </c>
      <c r="F3" s="94">
        <v>0.23799999999999999</v>
      </c>
      <c r="G3" s="92">
        <v>0.245</v>
      </c>
      <c r="H3" s="95">
        <v>0.16600000000000001</v>
      </c>
      <c r="I3" s="94">
        <v>0.16800000000000001</v>
      </c>
      <c r="J3" s="92">
        <v>0.214</v>
      </c>
      <c r="K3" s="95">
        <v>0.23300000000000001</v>
      </c>
      <c r="L3" s="94">
        <v>0.14599999999999999</v>
      </c>
      <c r="M3" s="92">
        <v>0.14399999999999999</v>
      </c>
      <c r="N3" s="95">
        <v>0.24099999999999999</v>
      </c>
      <c r="O3" s="94">
        <v>0.22900000000000001</v>
      </c>
      <c r="P3" s="92">
        <v>0.14499999999999999</v>
      </c>
      <c r="Q3" s="95">
        <v>0.17100000000000001</v>
      </c>
      <c r="R3" s="94">
        <v>0.16500000000000001</v>
      </c>
      <c r="S3" s="92">
        <v>0.21199999999999999</v>
      </c>
      <c r="T3" s="92">
        <v>0.14000000000000001</v>
      </c>
      <c r="U3" s="95">
        <v>0.14699999999999999</v>
      </c>
    </row>
    <row r="4" spans="1:21" x14ac:dyDescent="0.2">
      <c r="A4" s="1" t="s">
        <v>72</v>
      </c>
      <c r="B4" s="92">
        <v>0.2</v>
      </c>
      <c r="C4" s="94">
        <v>0.49199999999999999</v>
      </c>
      <c r="D4" s="92">
        <v>0.30299999999999999</v>
      </c>
      <c r="E4" s="95">
        <v>0.34100000000000003</v>
      </c>
      <c r="F4" s="94">
        <v>0.2</v>
      </c>
      <c r="G4" s="92">
        <v>0.53100000000000003</v>
      </c>
      <c r="H4" s="95">
        <v>0.34599999999999997</v>
      </c>
      <c r="I4" s="94">
        <v>0.42099999999999999</v>
      </c>
      <c r="J4" s="92">
        <v>0.22900000000000001</v>
      </c>
      <c r="K4" s="95">
        <v>0.60599999999999998</v>
      </c>
      <c r="L4" s="94">
        <v>0.33600000000000002</v>
      </c>
      <c r="M4" s="92">
        <v>0.3</v>
      </c>
      <c r="N4" s="95">
        <v>0.24199999999999999</v>
      </c>
      <c r="O4" s="94">
        <v>0.59499999999999997</v>
      </c>
      <c r="P4" s="92">
        <v>0.30399999999999999</v>
      </c>
      <c r="Q4" s="95">
        <v>0.35</v>
      </c>
      <c r="R4" s="94">
        <v>0.21299999999999999</v>
      </c>
      <c r="S4" s="92">
        <v>0.56299999999999994</v>
      </c>
      <c r="T4" s="92">
        <v>0.308</v>
      </c>
      <c r="U4" s="95">
        <v>0.315</v>
      </c>
    </row>
    <row r="5" spans="1:21" x14ac:dyDescent="0.2">
      <c r="A5" s="1" t="s">
        <v>71</v>
      </c>
      <c r="B5" s="92">
        <v>0.19700000000000001</v>
      </c>
      <c r="C5" s="94">
        <v>0.435</v>
      </c>
      <c r="D5" s="92">
        <v>0.312</v>
      </c>
      <c r="E5" s="95">
        <v>0.36099999999999999</v>
      </c>
      <c r="F5" s="94">
        <v>0.184</v>
      </c>
      <c r="G5" s="92">
        <v>0.47</v>
      </c>
      <c r="H5" s="95">
        <v>0.33500000000000002</v>
      </c>
      <c r="I5" s="94">
        <v>0.44400000000000001</v>
      </c>
      <c r="J5" s="92">
        <v>0.13100000000000001</v>
      </c>
      <c r="K5" s="95">
        <v>0.56299999999999994</v>
      </c>
      <c r="L5" s="94">
        <v>0.34300000000000003</v>
      </c>
      <c r="M5" s="92">
        <v>0.378</v>
      </c>
      <c r="N5" s="95">
        <v>0.22900000000000001</v>
      </c>
      <c r="O5" s="94">
        <v>0.57399999999999995</v>
      </c>
      <c r="P5" s="92">
        <v>0.29499999999999998</v>
      </c>
      <c r="Q5" s="95">
        <v>0.374</v>
      </c>
      <c r="R5" s="94">
        <v>0.20399999999999999</v>
      </c>
      <c r="S5" s="92">
        <v>0.54300000000000004</v>
      </c>
      <c r="T5" s="92">
        <v>0.35299999999999998</v>
      </c>
      <c r="U5" s="95">
        <v>0.32800000000000001</v>
      </c>
    </row>
    <row r="6" spans="1:21" x14ac:dyDescent="0.2">
      <c r="A6" s="1" t="s">
        <v>76</v>
      </c>
      <c r="B6" s="92">
        <v>0.80700000000000005</v>
      </c>
      <c r="C6" s="94">
        <v>0.82399999999999995</v>
      </c>
      <c r="D6" s="92">
        <v>0.48399999999999999</v>
      </c>
      <c r="E6" s="95">
        <v>0.56299999999999994</v>
      </c>
      <c r="F6" s="94">
        <v>0.85699999999999998</v>
      </c>
      <c r="G6" s="92">
        <v>0.66700000000000004</v>
      </c>
      <c r="H6" s="95">
        <v>0.59899999999999998</v>
      </c>
      <c r="I6" s="94">
        <v>0.71899999999999997</v>
      </c>
      <c r="J6" s="92">
        <v>0.89500000000000002</v>
      </c>
      <c r="K6" s="95">
        <v>0.71099999999999997</v>
      </c>
      <c r="L6" s="94">
        <v>0.49099999999999999</v>
      </c>
      <c r="M6" s="92">
        <v>0.52100000000000002</v>
      </c>
      <c r="N6" s="95">
        <v>0.97199999999999998</v>
      </c>
      <c r="O6" s="94">
        <v>0.77200000000000002</v>
      </c>
      <c r="P6" s="92">
        <v>0.66</v>
      </c>
      <c r="Q6" s="95">
        <v>0.47199999999999998</v>
      </c>
      <c r="R6" s="94">
        <v>0.86499999999999999</v>
      </c>
      <c r="S6" s="92">
        <v>0.83399999999999996</v>
      </c>
      <c r="T6" s="92">
        <v>0.68700000000000006</v>
      </c>
      <c r="U6" s="95">
        <v>0.51100000000000001</v>
      </c>
    </row>
    <row r="7" spans="1:21" x14ac:dyDescent="0.2">
      <c r="A7" s="99" t="s">
        <v>77</v>
      </c>
      <c r="B7" s="93">
        <v>0.53500000000000003</v>
      </c>
      <c r="C7" s="96">
        <v>0.34599999999999997</v>
      </c>
      <c r="D7" s="93">
        <v>0.36199999999999999</v>
      </c>
      <c r="E7" s="97">
        <v>0.39300000000000002</v>
      </c>
      <c r="F7" s="96">
        <v>0.505</v>
      </c>
      <c r="G7" s="93">
        <v>0.38</v>
      </c>
      <c r="H7" s="97">
        <v>0.47299999999999998</v>
      </c>
      <c r="I7" s="96">
        <v>0.51400000000000001</v>
      </c>
      <c r="J7" s="93">
        <v>0.55000000000000004</v>
      </c>
      <c r="K7" s="97">
        <v>0.433</v>
      </c>
      <c r="L7" s="96">
        <v>0.38700000000000001</v>
      </c>
      <c r="M7" s="93">
        <v>0.45</v>
      </c>
      <c r="N7" s="97">
        <v>0.53</v>
      </c>
      <c r="O7" s="96">
        <v>0.38</v>
      </c>
      <c r="P7" s="93">
        <v>0.36299999999999999</v>
      </c>
      <c r="Q7" s="97">
        <v>0.38</v>
      </c>
      <c r="R7" s="96">
        <v>0.53</v>
      </c>
      <c r="S7" s="93">
        <v>0.5</v>
      </c>
      <c r="T7" s="93">
        <v>0.36399999999999999</v>
      </c>
      <c r="U7" s="97">
        <v>0.39600000000000002</v>
      </c>
    </row>
    <row r="8" spans="1:21" x14ac:dyDescent="0.2">
      <c r="C8" s="88"/>
    </row>
    <row r="9" spans="1:21" x14ac:dyDescent="0.2">
      <c r="A9" s="89" t="s">
        <v>73</v>
      </c>
      <c r="B9" s="120" t="s">
        <v>0</v>
      </c>
      <c r="C9" s="121"/>
      <c r="D9" s="121"/>
      <c r="E9" s="122"/>
      <c r="F9" s="120" t="s">
        <v>1</v>
      </c>
      <c r="G9" s="121"/>
      <c r="H9" s="121"/>
      <c r="I9" s="122"/>
      <c r="J9" s="120" t="s">
        <v>2</v>
      </c>
      <c r="K9" s="121"/>
      <c r="L9" s="121"/>
      <c r="M9" s="122"/>
      <c r="N9" s="120" t="s">
        <v>3</v>
      </c>
      <c r="O9" s="121"/>
      <c r="P9" s="121"/>
      <c r="Q9" s="122"/>
      <c r="R9" s="120" t="s">
        <v>4</v>
      </c>
      <c r="S9" s="121"/>
      <c r="T9" s="121"/>
      <c r="U9" s="122"/>
    </row>
    <row r="10" spans="1:21" x14ac:dyDescent="0.2">
      <c r="B10" s="3" t="s">
        <v>5</v>
      </c>
      <c r="C10" s="103" t="s">
        <v>6</v>
      </c>
      <c r="D10" s="3" t="s">
        <v>7</v>
      </c>
      <c r="E10" s="103" t="s">
        <v>8</v>
      </c>
      <c r="F10" s="3" t="s">
        <v>5</v>
      </c>
      <c r="G10" s="103" t="s">
        <v>6</v>
      </c>
      <c r="H10" s="3" t="s">
        <v>7</v>
      </c>
      <c r="I10" s="103" t="s">
        <v>8</v>
      </c>
      <c r="J10" s="3" t="s">
        <v>5</v>
      </c>
      <c r="K10" s="103" t="s">
        <v>6</v>
      </c>
      <c r="L10" s="3" t="s">
        <v>7</v>
      </c>
      <c r="M10" s="103" t="s">
        <v>8</v>
      </c>
      <c r="N10" s="3" t="s">
        <v>5</v>
      </c>
      <c r="O10" s="103" t="s">
        <v>6</v>
      </c>
      <c r="P10" s="3" t="s">
        <v>7</v>
      </c>
      <c r="Q10" s="103" t="s">
        <v>8</v>
      </c>
      <c r="R10" s="3" t="s">
        <v>5</v>
      </c>
      <c r="S10" s="103" t="s">
        <v>6</v>
      </c>
      <c r="T10" s="3" t="s">
        <v>7</v>
      </c>
      <c r="U10" s="104" t="s">
        <v>8</v>
      </c>
    </row>
    <row r="11" spans="1:21" x14ac:dyDescent="0.2">
      <c r="A11" s="98" t="s">
        <v>9</v>
      </c>
      <c r="B11" s="105">
        <f>B3*3</f>
        <v>0.47099999999999997</v>
      </c>
      <c r="C11" s="100">
        <f>C3*5</f>
        <v>0.90500000000000003</v>
      </c>
      <c r="D11" s="105">
        <f t="shared" ref="D11:E15" si="0">D3*10</f>
        <v>1.54</v>
      </c>
      <c r="E11" s="100">
        <f t="shared" si="0"/>
        <v>1.46</v>
      </c>
      <c r="F11" s="98">
        <f>F3*3</f>
        <v>0.71399999999999997</v>
      </c>
      <c r="G11" s="100">
        <f>G3*5</f>
        <v>1.2250000000000001</v>
      </c>
      <c r="H11" s="105">
        <f t="shared" ref="H11:I15" si="1">H3*10</f>
        <v>1.6600000000000001</v>
      </c>
      <c r="I11" s="100">
        <f t="shared" si="1"/>
        <v>1.6800000000000002</v>
      </c>
      <c r="J11" s="98">
        <f>J3*3</f>
        <v>0.64200000000000002</v>
      </c>
      <c r="K11" s="100">
        <f>K3*5</f>
        <v>1.165</v>
      </c>
      <c r="L11" s="105">
        <f t="shared" ref="L11:M15" si="2">L3*10</f>
        <v>1.46</v>
      </c>
      <c r="M11" s="100">
        <f t="shared" si="2"/>
        <v>1.44</v>
      </c>
      <c r="N11" s="98">
        <f>N3*3</f>
        <v>0.72299999999999998</v>
      </c>
      <c r="O11" s="100">
        <f>O3*5</f>
        <v>1.145</v>
      </c>
      <c r="P11" s="105">
        <f t="shared" ref="P11:Q15" si="3">P3*10</f>
        <v>1.45</v>
      </c>
      <c r="Q11" s="100">
        <f t="shared" si="3"/>
        <v>1.7100000000000002</v>
      </c>
      <c r="R11" s="98">
        <f>R3*3</f>
        <v>0.495</v>
      </c>
      <c r="S11" s="100">
        <f>S3*5</f>
        <v>1.06</v>
      </c>
      <c r="T11" s="105">
        <f t="shared" ref="T11:U15" si="4">T3*10</f>
        <v>1.4000000000000001</v>
      </c>
      <c r="U11" s="101">
        <f t="shared" si="4"/>
        <v>1.47</v>
      </c>
    </row>
    <row r="12" spans="1:21" x14ac:dyDescent="0.2">
      <c r="A12" s="1" t="s">
        <v>72</v>
      </c>
      <c r="B12" s="92">
        <f>B4*3</f>
        <v>0.60000000000000009</v>
      </c>
      <c r="C12" s="90">
        <f>C4*5</f>
        <v>2.46</v>
      </c>
      <c r="D12" s="92">
        <f t="shared" si="0"/>
        <v>3.03</v>
      </c>
      <c r="E12" s="90">
        <f t="shared" si="0"/>
        <v>3.41</v>
      </c>
      <c r="F12" s="1">
        <f>F4*3</f>
        <v>0.60000000000000009</v>
      </c>
      <c r="G12" s="90">
        <f>G4*5</f>
        <v>2.6550000000000002</v>
      </c>
      <c r="H12" s="92">
        <f t="shared" si="1"/>
        <v>3.46</v>
      </c>
      <c r="I12" s="90">
        <f t="shared" si="1"/>
        <v>4.21</v>
      </c>
      <c r="J12" s="1">
        <f>J4*3</f>
        <v>0.68700000000000006</v>
      </c>
      <c r="K12" s="90">
        <f>K4*5</f>
        <v>3.03</v>
      </c>
      <c r="L12" s="92">
        <f t="shared" si="2"/>
        <v>3.3600000000000003</v>
      </c>
      <c r="M12" s="90">
        <f t="shared" si="2"/>
        <v>3</v>
      </c>
      <c r="N12" s="1">
        <f>N4*3</f>
        <v>0.72599999999999998</v>
      </c>
      <c r="O12" s="90">
        <f>O4*5</f>
        <v>2.9749999999999996</v>
      </c>
      <c r="P12" s="92">
        <f t="shared" si="3"/>
        <v>3.04</v>
      </c>
      <c r="Q12" s="90">
        <f t="shared" si="3"/>
        <v>3.5</v>
      </c>
      <c r="R12" s="1">
        <f>R4*3</f>
        <v>0.63900000000000001</v>
      </c>
      <c r="S12" s="90">
        <f>S4*5</f>
        <v>2.8149999999999995</v>
      </c>
      <c r="T12" s="92">
        <f t="shared" si="4"/>
        <v>3.08</v>
      </c>
      <c r="U12" s="95">
        <f t="shared" si="4"/>
        <v>3.15</v>
      </c>
    </row>
    <row r="13" spans="1:21" x14ac:dyDescent="0.2">
      <c r="A13" s="1" t="s">
        <v>71</v>
      </c>
      <c r="B13" s="92">
        <f>B5*3</f>
        <v>0.59099999999999997</v>
      </c>
      <c r="C13" s="90">
        <f>C5*5</f>
        <v>2.1749999999999998</v>
      </c>
      <c r="D13" s="92">
        <f t="shared" si="0"/>
        <v>3.12</v>
      </c>
      <c r="E13" s="90">
        <f t="shared" si="0"/>
        <v>3.61</v>
      </c>
      <c r="F13" s="1">
        <f>F5*3</f>
        <v>0.55200000000000005</v>
      </c>
      <c r="G13" s="90">
        <f>G5*5</f>
        <v>2.3499999999999996</v>
      </c>
      <c r="H13" s="92">
        <f t="shared" si="1"/>
        <v>3.35</v>
      </c>
      <c r="I13" s="90">
        <f t="shared" si="1"/>
        <v>4.4400000000000004</v>
      </c>
      <c r="J13" s="1">
        <f>J5*3</f>
        <v>0.39300000000000002</v>
      </c>
      <c r="K13" s="90">
        <f>K5*5</f>
        <v>2.8149999999999995</v>
      </c>
      <c r="L13" s="92">
        <f t="shared" si="2"/>
        <v>3.43</v>
      </c>
      <c r="M13" s="90">
        <f t="shared" si="2"/>
        <v>3.7800000000000002</v>
      </c>
      <c r="N13" s="1">
        <f>N5*3</f>
        <v>0.68700000000000006</v>
      </c>
      <c r="O13" s="90">
        <f>O5*5</f>
        <v>2.8699999999999997</v>
      </c>
      <c r="P13" s="92">
        <f t="shared" si="3"/>
        <v>2.9499999999999997</v>
      </c>
      <c r="Q13" s="90">
        <f t="shared" si="3"/>
        <v>3.74</v>
      </c>
      <c r="R13" s="1">
        <f>R5*3</f>
        <v>0.61199999999999999</v>
      </c>
      <c r="S13" s="90">
        <f>S5*5</f>
        <v>2.7150000000000003</v>
      </c>
      <c r="T13" s="92">
        <f t="shared" si="4"/>
        <v>3.53</v>
      </c>
      <c r="U13" s="95">
        <f t="shared" si="4"/>
        <v>3.2800000000000002</v>
      </c>
    </row>
    <row r="14" spans="1:21" x14ac:dyDescent="0.2">
      <c r="A14" s="1" t="s">
        <v>76</v>
      </c>
      <c r="B14" s="92">
        <f>B6*3</f>
        <v>2.4210000000000003</v>
      </c>
      <c r="C14" s="90">
        <f>C6*5</f>
        <v>4.12</v>
      </c>
      <c r="D14" s="92">
        <f t="shared" si="0"/>
        <v>4.84</v>
      </c>
      <c r="E14" s="90">
        <f t="shared" si="0"/>
        <v>5.629999999999999</v>
      </c>
      <c r="F14" s="1">
        <f>F6*3</f>
        <v>2.5709999999999997</v>
      </c>
      <c r="G14" s="90">
        <f>G6*5</f>
        <v>3.335</v>
      </c>
      <c r="H14" s="92">
        <f t="shared" si="1"/>
        <v>5.99</v>
      </c>
      <c r="I14" s="90">
        <f t="shared" si="1"/>
        <v>7.1899999999999995</v>
      </c>
      <c r="J14" s="1">
        <f>J6*3</f>
        <v>2.6850000000000001</v>
      </c>
      <c r="K14" s="90">
        <f>K6*5</f>
        <v>3.5549999999999997</v>
      </c>
      <c r="L14" s="92">
        <f t="shared" si="2"/>
        <v>4.91</v>
      </c>
      <c r="M14" s="90">
        <f t="shared" si="2"/>
        <v>5.21</v>
      </c>
      <c r="N14" s="1">
        <f>N6*3</f>
        <v>2.9159999999999999</v>
      </c>
      <c r="O14" s="90">
        <f>O6*5</f>
        <v>3.8600000000000003</v>
      </c>
      <c r="P14" s="92">
        <f t="shared" si="3"/>
        <v>6.6000000000000005</v>
      </c>
      <c r="Q14" s="90">
        <f t="shared" si="3"/>
        <v>4.72</v>
      </c>
      <c r="R14" s="1">
        <f>R6*3</f>
        <v>2.5949999999999998</v>
      </c>
      <c r="S14" s="90">
        <f>S6*5</f>
        <v>4.17</v>
      </c>
      <c r="T14" s="92">
        <f t="shared" si="4"/>
        <v>6.870000000000001</v>
      </c>
      <c r="U14" s="95">
        <f t="shared" si="4"/>
        <v>5.1100000000000003</v>
      </c>
    </row>
    <row r="15" spans="1:21" x14ac:dyDescent="0.2">
      <c r="A15" s="99" t="s">
        <v>77</v>
      </c>
      <c r="B15" s="93">
        <f>B7*3</f>
        <v>1.605</v>
      </c>
      <c r="C15" s="102">
        <f>C7*5</f>
        <v>1.73</v>
      </c>
      <c r="D15" s="93">
        <f t="shared" si="0"/>
        <v>3.62</v>
      </c>
      <c r="E15" s="102">
        <f t="shared" si="0"/>
        <v>3.93</v>
      </c>
      <c r="F15" s="99">
        <f>F7*3</f>
        <v>1.5150000000000001</v>
      </c>
      <c r="G15" s="102">
        <f>G7*5</f>
        <v>1.9</v>
      </c>
      <c r="H15" s="93">
        <f t="shared" si="1"/>
        <v>4.7299999999999995</v>
      </c>
      <c r="I15" s="102">
        <f t="shared" si="1"/>
        <v>5.1400000000000006</v>
      </c>
      <c r="J15" s="99">
        <f>J7*3</f>
        <v>1.6500000000000001</v>
      </c>
      <c r="K15" s="102">
        <f>K7*5</f>
        <v>2.165</v>
      </c>
      <c r="L15" s="93">
        <f t="shared" si="2"/>
        <v>3.87</v>
      </c>
      <c r="M15" s="102">
        <f t="shared" si="2"/>
        <v>4.5</v>
      </c>
      <c r="N15" s="99">
        <f>N7*3</f>
        <v>1.59</v>
      </c>
      <c r="O15" s="102">
        <f>O7*5</f>
        <v>1.9</v>
      </c>
      <c r="P15" s="93">
        <f t="shared" si="3"/>
        <v>3.63</v>
      </c>
      <c r="Q15" s="102">
        <f t="shared" si="3"/>
        <v>3.8</v>
      </c>
      <c r="R15" s="93">
        <f>R7*3</f>
        <v>1.59</v>
      </c>
      <c r="S15" s="102">
        <f>S7*5</f>
        <v>2.5</v>
      </c>
      <c r="T15" s="93">
        <f t="shared" si="4"/>
        <v>3.6399999999999997</v>
      </c>
      <c r="U15" s="97">
        <f t="shared" si="4"/>
        <v>3.96</v>
      </c>
    </row>
    <row r="17" spans="1:10" x14ac:dyDescent="0.2">
      <c r="B17" s="120" t="s">
        <v>11</v>
      </c>
      <c r="C17" s="121"/>
      <c r="D17" s="121"/>
      <c r="E17" s="122"/>
      <c r="G17" s="120" t="s">
        <v>75</v>
      </c>
      <c r="H17" s="121"/>
      <c r="I17" s="121"/>
      <c r="J17" s="122"/>
    </row>
    <row r="18" spans="1:10" x14ac:dyDescent="0.2">
      <c r="A18" s="112" t="s">
        <v>74</v>
      </c>
      <c r="B18" s="4">
        <v>0</v>
      </c>
      <c r="C18" s="3">
        <v>12</v>
      </c>
      <c r="D18" s="5">
        <v>24</v>
      </c>
      <c r="E18" s="3">
        <v>48</v>
      </c>
      <c r="F18" s="112" t="s">
        <v>74</v>
      </c>
      <c r="G18" s="4">
        <v>0</v>
      </c>
      <c r="H18" s="3">
        <v>12</v>
      </c>
      <c r="I18" s="5">
        <v>24</v>
      </c>
      <c r="J18" s="3">
        <v>48</v>
      </c>
    </row>
    <row r="19" spans="1:10" x14ac:dyDescent="0.2">
      <c r="A19" s="98" t="s">
        <v>9</v>
      </c>
      <c r="B19" s="107">
        <f t="shared" ref="B19:E23" si="5">AVERAGE(B11,F11,J11,N11,R11)</f>
        <v>0.60899999999999999</v>
      </c>
      <c r="C19" s="113">
        <f t="shared" si="5"/>
        <v>1.1000000000000001</v>
      </c>
      <c r="D19" s="106">
        <f t="shared" si="5"/>
        <v>1.5020000000000002</v>
      </c>
      <c r="E19" s="113">
        <f t="shared" si="5"/>
        <v>1.552</v>
      </c>
      <c r="F19" s="1"/>
      <c r="G19" s="87">
        <f t="shared" ref="G19:J23" si="6">STDEVA(B3,F3,J3,N3,R3)</f>
        <v>3.9843443626273137E-2</v>
      </c>
      <c r="H19" s="6">
        <f t="shared" si="6"/>
        <v>2.4799193535274298E-2</v>
      </c>
      <c r="I19" s="88">
        <f t="shared" si="6"/>
        <v>1.0158740079360237E-2</v>
      </c>
      <c r="J19" s="6">
        <f t="shared" si="6"/>
        <v>1.3141537200799618E-2</v>
      </c>
    </row>
    <row r="20" spans="1:10" x14ac:dyDescent="0.2">
      <c r="A20" s="1" t="s">
        <v>72</v>
      </c>
      <c r="B20" s="107">
        <f t="shared" si="5"/>
        <v>0.65040000000000009</v>
      </c>
      <c r="C20" s="113">
        <f t="shared" si="5"/>
        <v>2.7869999999999999</v>
      </c>
      <c r="D20" s="106">
        <f t="shared" si="5"/>
        <v>3.194</v>
      </c>
      <c r="E20" s="113">
        <f t="shared" si="5"/>
        <v>3.4539999999999997</v>
      </c>
      <c r="F20" s="1"/>
      <c r="G20" s="87">
        <f t="shared" si="6"/>
        <v>1.8458060569843185E-2</v>
      </c>
      <c r="H20" s="6">
        <f t="shared" si="6"/>
        <v>4.6854028642156251E-2</v>
      </c>
      <c r="I20" s="88">
        <f t="shared" si="6"/>
        <v>2.0119642143934868E-2</v>
      </c>
      <c r="J20" s="6">
        <f t="shared" si="6"/>
        <v>4.6747192429064964E-2</v>
      </c>
    </row>
    <row r="21" spans="1:10" x14ac:dyDescent="0.2">
      <c r="A21" s="1" t="s">
        <v>71</v>
      </c>
      <c r="B21" s="107">
        <f t="shared" si="5"/>
        <v>0.56699999999999995</v>
      </c>
      <c r="C21" s="113">
        <f t="shared" si="5"/>
        <v>2.585</v>
      </c>
      <c r="D21" s="106">
        <f t="shared" si="5"/>
        <v>3.2759999999999998</v>
      </c>
      <c r="E21" s="113">
        <f t="shared" si="5"/>
        <v>3.7700000000000005</v>
      </c>
      <c r="F21" s="1"/>
      <c r="G21" s="87">
        <f t="shared" si="6"/>
        <v>3.6324922573902456E-2</v>
      </c>
      <c r="H21" s="6">
        <f t="shared" si="6"/>
        <v>6.1184148273879004E-2</v>
      </c>
      <c r="I21" s="88">
        <f t="shared" si="6"/>
        <v>2.3681216184985102E-2</v>
      </c>
      <c r="J21" s="6">
        <f t="shared" si="6"/>
        <v>4.2296571965113203E-2</v>
      </c>
    </row>
    <row r="22" spans="1:10" x14ac:dyDescent="0.2">
      <c r="A22" s="1" t="s">
        <v>76</v>
      </c>
      <c r="B22" s="107">
        <f t="shared" si="5"/>
        <v>2.6375999999999999</v>
      </c>
      <c r="C22" s="113">
        <f t="shared" si="5"/>
        <v>3.8079999999999998</v>
      </c>
      <c r="D22" s="106">
        <f t="shared" si="5"/>
        <v>5.8420000000000005</v>
      </c>
      <c r="E22" s="113">
        <f t="shared" si="5"/>
        <v>5.5719999999999992</v>
      </c>
      <c r="F22" s="1"/>
      <c r="G22" s="87">
        <f t="shared" si="6"/>
        <v>6.0763475871612196E-2</v>
      </c>
      <c r="H22" s="6">
        <f t="shared" si="6"/>
        <v>7.2029854921414338E-2</v>
      </c>
      <c r="I22" s="88">
        <f t="shared" si="6"/>
        <v>9.3886633766473965E-2</v>
      </c>
      <c r="J22" s="6">
        <f t="shared" si="6"/>
        <v>9.6068725400100322E-2</v>
      </c>
    </row>
    <row r="23" spans="1:10" x14ac:dyDescent="0.2">
      <c r="A23" s="99" t="s">
        <v>77</v>
      </c>
      <c r="B23" s="108">
        <f t="shared" si="5"/>
        <v>1.59</v>
      </c>
      <c r="C23" s="114">
        <f t="shared" si="5"/>
        <v>2.0390000000000001</v>
      </c>
      <c r="D23" s="109">
        <f t="shared" si="5"/>
        <v>3.8979999999999997</v>
      </c>
      <c r="E23" s="114">
        <f t="shared" si="5"/>
        <v>4.266</v>
      </c>
      <c r="F23" s="99"/>
      <c r="G23" s="110">
        <f t="shared" si="6"/>
        <v>1.6201851746019666E-2</v>
      </c>
      <c r="H23" s="115">
        <f t="shared" si="6"/>
        <v>6.0209633780649814E-2</v>
      </c>
      <c r="I23" s="111">
        <f t="shared" si="6"/>
        <v>4.7662354117269982E-2</v>
      </c>
      <c r="J23" s="115">
        <f t="shared" si="6"/>
        <v>5.5729704826061946E-2</v>
      </c>
    </row>
  </sheetData>
  <mergeCells count="12">
    <mergeCell ref="B17:E17"/>
    <mergeCell ref="G17:J17"/>
    <mergeCell ref="B1:E1"/>
    <mergeCell ref="F1:I1"/>
    <mergeCell ref="J1:M1"/>
    <mergeCell ref="N1:Q1"/>
    <mergeCell ref="R1:U1"/>
    <mergeCell ref="B9:E9"/>
    <mergeCell ref="F9:I9"/>
    <mergeCell ref="J9:M9"/>
    <mergeCell ref="N9:Q9"/>
    <mergeCell ref="R9:U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B37F3-F27F-4BF1-8EE1-7B944AAA2D93}">
  <dimension ref="A1:U15"/>
  <sheetViews>
    <sheetView tabSelected="1" topLeftCell="B1" zoomScale="159" workbookViewId="0">
      <selection activeCell="T12" sqref="T12"/>
    </sheetView>
  </sheetViews>
  <sheetFormatPr baseColWidth="10" defaultColWidth="9.1640625" defaultRowHeight="15" x14ac:dyDescent="0.2"/>
  <cols>
    <col min="1" max="1" width="15.83203125" bestFit="1" customWidth="1"/>
    <col min="4" max="4" width="9.5" bestFit="1" customWidth="1"/>
    <col min="8" max="8" width="9.5" bestFit="1" customWidth="1"/>
  </cols>
  <sheetData>
    <row r="1" spans="1:21" x14ac:dyDescent="0.2">
      <c r="B1" s="123" t="s">
        <v>0</v>
      </c>
      <c r="C1" s="123"/>
      <c r="D1" s="123"/>
      <c r="E1" s="123"/>
      <c r="F1" s="123" t="s">
        <v>1</v>
      </c>
      <c r="G1" s="123"/>
      <c r="H1" s="123"/>
      <c r="I1" s="123"/>
      <c r="J1" s="123" t="s">
        <v>2</v>
      </c>
      <c r="K1" s="123"/>
      <c r="L1" s="123"/>
      <c r="M1" s="123"/>
      <c r="N1" s="123" t="s">
        <v>3</v>
      </c>
      <c r="O1" s="123"/>
      <c r="P1" s="123"/>
      <c r="Q1" s="123"/>
      <c r="R1" s="123" t="s">
        <v>4</v>
      </c>
      <c r="S1" s="123"/>
      <c r="T1" s="123"/>
      <c r="U1" s="123"/>
    </row>
    <row r="2" spans="1:21" x14ac:dyDescent="0.2">
      <c r="B2" s="91" t="s">
        <v>5</v>
      </c>
      <c r="C2" s="91" t="s">
        <v>6</v>
      </c>
      <c r="D2" s="91" t="s">
        <v>7</v>
      </c>
      <c r="E2" s="91" t="s">
        <v>8</v>
      </c>
      <c r="F2" s="91" t="s">
        <v>5</v>
      </c>
      <c r="G2" s="91" t="s">
        <v>6</v>
      </c>
      <c r="H2" s="91" t="s">
        <v>7</v>
      </c>
      <c r="I2" s="91" t="s">
        <v>8</v>
      </c>
      <c r="J2" s="91" t="s">
        <v>5</v>
      </c>
      <c r="K2" s="91" t="s">
        <v>6</v>
      </c>
      <c r="L2" s="91" t="s">
        <v>7</v>
      </c>
      <c r="M2" s="91" t="s">
        <v>8</v>
      </c>
      <c r="N2" s="91" t="s">
        <v>5</v>
      </c>
      <c r="O2" s="91" t="s">
        <v>6</v>
      </c>
      <c r="P2" s="91" t="s">
        <v>7</v>
      </c>
      <c r="Q2" s="91" t="s">
        <v>8</v>
      </c>
      <c r="R2" s="91" t="s">
        <v>5</v>
      </c>
      <c r="S2" s="91" t="s">
        <v>6</v>
      </c>
      <c r="T2" s="91" t="s">
        <v>7</v>
      </c>
      <c r="U2" s="91" t="s">
        <v>8</v>
      </c>
    </row>
    <row r="3" spans="1:21" x14ac:dyDescent="0.2">
      <c r="A3" s="98" t="s">
        <v>9</v>
      </c>
      <c r="B3" s="105">
        <v>6.34</v>
      </c>
      <c r="C3" s="100">
        <v>6.34</v>
      </c>
      <c r="D3" s="105">
        <v>6.37</v>
      </c>
      <c r="E3" s="100">
        <v>6.89</v>
      </c>
      <c r="F3" s="105">
        <v>6.36</v>
      </c>
      <c r="G3" s="100">
        <v>6.54</v>
      </c>
      <c r="H3" s="105">
        <v>6.57</v>
      </c>
      <c r="I3" s="100">
        <v>7.01</v>
      </c>
      <c r="J3" s="105">
        <v>6.34</v>
      </c>
      <c r="K3" s="100">
        <v>6.62</v>
      </c>
      <c r="L3" s="105">
        <v>6.58</v>
      </c>
      <c r="M3" s="100">
        <v>6.82</v>
      </c>
      <c r="N3" s="105">
        <v>6.33</v>
      </c>
      <c r="O3" s="100">
        <v>6.59</v>
      </c>
      <c r="P3" s="105">
        <v>6.6</v>
      </c>
      <c r="Q3" s="100">
        <v>6.81</v>
      </c>
      <c r="R3" s="105">
        <v>6.36</v>
      </c>
      <c r="S3" s="100">
        <v>6.65</v>
      </c>
      <c r="T3" s="105">
        <v>6.77</v>
      </c>
      <c r="U3" s="101">
        <v>6.89</v>
      </c>
    </row>
    <row r="4" spans="1:21" x14ac:dyDescent="0.2">
      <c r="A4" s="1" t="s">
        <v>72</v>
      </c>
      <c r="B4" s="92">
        <v>6.33</v>
      </c>
      <c r="C4" s="90">
        <v>4.99</v>
      </c>
      <c r="D4" s="92">
        <v>4.4400000000000004</v>
      </c>
      <c r="E4" s="90">
        <v>4.1399999999999997</v>
      </c>
      <c r="F4" s="92">
        <v>6.33</v>
      </c>
      <c r="G4" s="90">
        <v>4.66</v>
      </c>
      <c r="H4" s="92">
        <v>4.5199999999999996</v>
      </c>
      <c r="I4" s="90">
        <v>4.45</v>
      </c>
      <c r="J4" s="92">
        <v>6.32</v>
      </c>
      <c r="K4" s="90">
        <v>3.98</v>
      </c>
      <c r="L4" s="92">
        <v>3.82</v>
      </c>
      <c r="M4" s="90">
        <v>3.74</v>
      </c>
      <c r="N4" s="92">
        <v>6.27</v>
      </c>
      <c r="O4" s="90">
        <v>4.07</v>
      </c>
      <c r="P4" s="92">
        <v>3.78</v>
      </c>
      <c r="Q4" s="90">
        <v>3.69</v>
      </c>
      <c r="R4" s="92">
        <v>6.35</v>
      </c>
      <c r="S4" s="90">
        <v>4.2</v>
      </c>
      <c r="T4" s="92">
        <v>3.83</v>
      </c>
      <c r="U4" s="95">
        <v>3.7</v>
      </c>
    </row>
    <row r="5" spans="1:21" x14ac:dyDescent="0.2">
      <c r="A5" s="1" t="s">
        <v>71</v>
      </c>
      <c r="B5" s="92">
        <v>6.3</v>
      </c>
      <c r="C5" s="90">
        <v>4.79</v>
      </c>
      <c r="D5" s="92">
        <v>4.2699999999999996</v>
      </c>
      <c r="E5" s="90">
        <v>3.89</v>
      </c>
      <c r="F5" s="92">
        <v>6.33</v>
      </c>
      <c r="G5" s="90">
        <v>4.76</v>
      </c>
      <c r="H5" s="92">
        <v>4.3</v>
      </c>
      <c r="I5" s="90">
        <v>3.97</v>
      </c>
      <c r="J5" s="92">
        <v>6.23</v>
      </c>
      <c r="K5" s="90">
        <v>3.93</v>
      </c>
      <c r="L5" s="92">
        <v>3.82</v>
      </c>
      <c r="M5" s="90">
        <v>3.67</v>
      </c>
      <c r="N5" s="92">
        <v>6.32</v>
      </c>
      <c r="O5" s="90">
        <v>4.09</v>
      </c>
      <c r="P5" s="92">
        <v>3.76</v>
      </c>
      <c r="Q5" s="90">
        <v>3.66</v>
      </c>
      <c r="R5" s="92">
        <v>6.25</v>
      </c>
      <c r="S5" s="90">
        <v>4.29</v>
      </c>
      <c r="T5" s="92">
        <v>3.89</v>
      </c>
      <c r="U5" s="95">
        <v>3.7</v>
      </c>
    </row>
    <row r="6" spans="1:21" x14ac:dyDescent="0.2">
      <c r="A6" s="1" t="s">
        <v>76</v>
      </c>
      <c r="B6" s="92">
        <v>7.01</v>
      </c>
      <c r="C6" s="90">
        <v>5.09</v>
      </c>
      <c r="D6" s="92">
        <v>4.2300000000000004</v>
      </c>
      <c r="E6" s="90">
        <v>3.94</v>
      </c>
      <c r="F6" s="92">
        <v>6.96</v>
      </c>
      <c r="G6" s="90">
        <v>4.84</v>
      </c>
      <c r="H6" s="92">
        <v>3.8</v>
      </c>
      <c r="I6" s="90">
        <v>3.69</v>
      </c>
      <c r="J6" s="92">
        <v>6.47</v>
      </c>
      <c r="K6" s="90">
        <v>4.42</v>
      </c>
      <c r="L6" s="92">
        <v>3.86</v>
      </c>
      <c r="M6" s="90">
        <v>3.79</v>
      </c>
      <c r="N6" s="92">
        <v>5.89</v>
      </c>
      <c r="O6" s="90">
        <v>4.71</v>
      </c>
      <c r="P6" s="92">
        <v>3.83</v>
      </c>
      <c r="Q6" s="90">
        <v>3.71</v>
      </c>
      <c r="R6" s="92">
        <v>6.18</v>
      </c>
      <c r="S6" s="90">
        <v>4.24</v>
      </c>
      <c r="T6" s="92">
        <v>3.81</v>
      </c>
      <c r="U6" s="95">
        <v>3.68</v>
      </c>
    </row>
    <row r="7" spans="1:21" x14ac:dyDescent="0.2">
      <c r="A7" s="99" t="s">
        <v>77</v>
      </c>
      <c r="B7" s="93">
        <v>6.2</v>
      </c>
      <c r="C7" s="102">
        <v>4.8499999999999996</v>
      </c>
      <c r="D7" s="93">
        <v>4.43</v>
      </c>
      <c r="E7" s="102">
        <v>3.73</v>
      </c>
      <c r="F7" s="93">
        <v>6.54</v>
      </c>
      <c r="G7" s="102">
        <v>4.95</v>
      </c>
      <c r="H7" s="93">
        <v>3.77</v>
      </c>
      <c r="I7" s="102">
        <v>3.57</v>
      </c>
      <c r="J7" s="93">
        <v>6.17</v>
      </c>
      <c r="K7" s="102">
        <v>4.4000000000000004</v>
      </c>
      <c r="L7" s="93">
        <v>3.79</v>
      </c>
      <c r="M7" s="102">
        <v>3.73</v>
      </c>
      <c r="N7" s="93">
        <v>5.74</v>
      </c>
      <c r="O7" s="102">
        <v>4.67</v>
      </c>
      <c r="P7" s="93">
        <v>3.86</v>
      </c>
      <c r="Q7" s="102">
        <v>3.66</v>
      </c>
      <c r="R7" s="93">
        <v>6.48</v>
      </c>
      <c r="S7" s="102">
        <v>4.41</v>
      </c>
      <c r="T7" s="93">
        <v>3.78</v>
      </c>
      <c r="U7" s="97">
        <v>3.6</v>
      </c>
    </row>
    <row r="9" spans="1:21" x14ac:dyDescent="0.2">
      <c r="B9" s="120" t="s">
        <v>11</v>
      </c>
      <c r="C9" s="121"/>
      <c r="D9" s="121"/>
      <c r="E9" s="122"/>
      <c r="G9" s="120" t="s">
        <v>75</v>
      </c>
      <c r="H9" s="121"/>
      <c r="I9" s="121"/>
      <c r="J9" s="122"/>
    </row>
    <row r="10" spans="1:21" x14ac:dyDescent="0.2">
      <c r="B10" s="3">
        <v>0</v>
      </c>
      <c r="C10" s="3">
        <v>12</v>
      </c>
      <c r="D10" s="3">
        <v>24</v>
      </c>
      <c r="E10" s="3">
        <v>48</v>
      </c>
      <c r="G10" s="3" t="s">
        <v>5</v>
      </c>
      <c r="H10" s="3" t="s">
        <v>6</v>
      </c>
      <c r="I10" s="3" t="s">
        <v>7</v>
      </c>
      <c r="J10" s="3" t="s">
        <v>8</v>
      </c>
    </row>
    <row r="11" spans="1:21" x14ac:dyDescent="0.2">
      <c r="A11" s="98" t="s">
        <v>9</v>
      </c>
      <c r="B11" s="105">
        <f t="shared" ref="B11:E15" si="0">AVERAGE(B3,F3,J3,N3,R3)</f>
        <v>6.3459999999999992</v>
      </c>
      <c r="C11" s="100">
        <f t="shared" si="0"/>
        <v>6.548</v>
      </c>
      <c r="D11" s="105">
        <f t="shared" si="0"/>
        <v>6.5780000000000003</v>
      </c>
      <c r="E11" s="101">
        <f t="shared" si="0"/>
        <v>6.8839999999999986</v>
      </c>
      <c r="G11" s="94">
        <f t="shared" ref="G11:J15" si="1">STDEVA(B3,F3,J3,N3,R3)</f>
        <v>1.3416407864998916E-2</v>
      </c>
      <c r="H11" s="105">
        <f t="shared" si="1"/>
        <v>0.12316655390161745</v>
      </c>
      <c r="I11" s="90">
        <f t="shared" si="1"/>
        <v>0.1420211251891772</v>
      </c>
      <c r="J11" s="105">
        <f t="shared" si="1"/>
        <v>7.9874902190863364E-2</v>
      </c>
    </row>
    <row r="12" spans="1:21" x14ac:dyDescent="0.2">
      <c r="A12" s="1" t="s">
        <v>72</v>
      </c>
      <c r="B12" s="92">
        <f t="shared" si="0"/>
        <v>6.32</v>
      </c>
      <c r="C12" s="90">
        <f t="shared" si="0"/>
        <v>4.3800000000000008</v>
      </c>
      <c r="D12" s="92">
        <f t="shared" si="0"/>
        <v>4.0780000000000003</v>
      </c>
      <c r="E12" s="95">
        <f t="shared" si="0"/>
        <v>3.944</v>
      </c>
      <c r="G12" s="94">
        <f t="shared" si="1"/>
        <v>3.00000000000001E-2</v>
      </c>
      <c r="H12" s="92">
        <f t="shared" si="1"/>
        <v>0.42982554600674916</v>
      </c>
      <c r="I12" s="90">
        <f t="shared" si="1"/>
        <v>0.36853765072241945</v>
      </c>
      <c r="J12" s="92">
        <f t="shared" si="1"/>
        <v>0.33916072885875209</v>
      </c>
    </row>
    <row r="13" spans="1:21" x14ac:dyDescent="0.2">
      <c r="A13" s="1" t="s">
        <v>71</v>
      </c>
      <c r="B13" s="92">
        <f t="shared" si="0"/>
        <v>6.2859999999999996</v>
      </c>
      <c r="C13" s="90">
        <f t="shared" si="0"/>
        <v>4.3719999999999999</v>
      </c>
      <c r="D13" s="92">
        <f t="shared" si="0"/>
        <v>4.008</v>
      </c>
      <c r="E13" s="95">
        <f t="shared" si="0"/>
        <v>3.778</v>
      </c>
      <c r="G13" s="94">
        <f t="shared" si="1"/>
        <v>4.393176527297752E-2</v>
      </c>
      <c r="H13" s="92">
        <f t="shared" si="1"/>
        <v>0.38951251584512653</v>
      </c>
      <c r="I13" s="90">
        <f t="shared" si="1"/>
        <v>0.25723530084341056</v>
      </c>
      <c r="J13" s="92">
        <f t="shared" si="1"/>
        <v>0.14237275020171528</v>
      </c>
    </row>
    <row r="14" spans="1:21" x14ac:dyDescent="0.2">
      <c r="A14" s="1" t="s">
        <v>76</v>
      </c>
      <c r="B14" s="92">
        <f t="shared" si="0"/>
        <v>6.5019999999999998</v>
      </c>
      <c r="C14" s="90">
        <f t="shared" si="0"/>
        <v>4.6599999999999993</v>
      </c>
      <c r="D14" s="92">
        <f t="shared" si="0"/>
        <v>3.9060000000000001</v>
      </c>
      <c r="E14" s="95">
        <f t="shared" si="0"/>
        <v>3.7619999999999996</v>
      </c>
      <c r="G14" s="94">
        <f t="shared" si="1"/>
        <v>0.48659017663738346</v>
      </c>
      <c r="H14" s="92">
        <f t="shared" si="1"/>
        <v>0.33682339586198567</v>
      </c>
      <c r="I14" s="90">
        <f t="shared" si="1"/>
        <v>0.18256505689753466</v>
      </c>
      <c r="J14" s="92">
        <f t="shared" si="1"/>
        <v>0.10848963084092411</v>
      </c>
    </row>
    <row r="15" spans="1:21" x14ac:dyDescent="0.2">
      <c r="A15" s="99" t="s">
        <v>77</v>
      </c>
      <c r="B15" s="93">
        <f t="shared" si="0"/>
        <v>6.226</v>
      </c>
      <c r="C15" s="102">
        <f t="shared" si="0"/>
        <v>4.6560000000000006</v>
      </c>
      <c r="D15" s="93">
        <f t="shared" si="0"/>
        <v>3.9259999999999997</v>
      </c>
      <c r="E15" s="97">
        <f t="shared" si="0"/>
        <v>3.6579999999999999</v>
      </c>
      <c r="G15" s="96">
        <f t="shared" si="1"/>
        <v>0.31745865872582529</v>
      </c>
      <c r="H15" s="93">
        <f t="shared" si="1"/>
        <v>0.25015994883274167</v>
      </c>
      <c r="I15" s="102">
        <f t="shared" si="1"/>
        <v>0.28395422166257706</v>
      </c>
      <c r="J15" s="93">
        <f t="shared" si="1"/>
        <v>7.3280283842245067E-2</v>
      </c>
    </row>
  </sheetData>
  <mergeCells count="7">
    <mergeCell ref="N1:Q1"/>
    <mergeCell ref="R1:U1"/>
    <mergeCell ref="B9:E9"/>
    <mergeCell ref="G9:J9"/>
    <mergeCell ref="B1:E1"/>
    <mergeCell ref="F1:I1"/>
    <mergeCell ref="J1:M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54BC2-BB2B-49F0-83B2-FF5A60810D21}">
  <dimension ref="A1:W100"/>
  <sheetViews>
    <sheetView topLeftCell="A24" workbookViewId="0">
      <selection activeCell="A10" sqref="A10"/>
    </sheetView>
  </sheetViews>
  <sheetFormatPr baseColWidth="10" defaultColWidth="11.5" defaultRowHeight="15" x14ac:dyDescent="0.2"/>
  <cols>
    <col min="1" max="1" width="29.5" bestFit="1" customWidth="1"/>
    <col min="2" max="2" width="18.33203125" bestFit="1" customWidth="1"/>
    <col min="3" max="5" width="17.1640625" bestFit="1" customWidth="1"/>
    <col min="6" max="6" width="15.33203125" bestFit="1" customWidth="1"/>
    <col min="7" max="7" width="12" bestFit="1" customWidth="1"/>
    <col min="8" max="9" width="12.5" bestFit="1" customWidth="1"/>
    <col min="10" max="10" width="12" bestFit="1" customWidth="1"/>
    <col min="11" max="11" width="12.5" bestFit="1" customWidth="1"/>
    <col min="13" max="14" width="12.5" bestFit="1" customWidth="1"/>
    <col min="16" max="17" width="12.5" bestFit="1" customWidth="1"/>
    <col min="18" max="19" width="12" bestFit="1" customWidth="1"/>
    <col min="20" max="21" width="12.5" bestFit="1" customWidth="1"/>
  </cols>
  <sheetData>
    <row r="1" spans="1:23" hidden="1" x14ac:dyDescent="0.2">
      <c r="A1" s="7" t="s">
        <v>12</v>
      </c>
      <c r="B1" s="7">
        <v>20</v>
      </c>
      <c r="C1" s="7"/>
      <c r="D1" s="7"/>
      <c r="E1" s="8"/>
      <c r="F1" s="8"/>
      <c r="G1" s="8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 hidden="1" x14ac:dyDescent="0.2">
      <c r="A2" s="10"/>
      <c r="B2" s="8"/>
      <c r="C2" s="8"/>
      <c r="D2" s="8"/>
      <c r="E2" s="8"/>
      <c r="F2" s="8"/>
      <c r="G2" s="8"/>
      <c r="H2" s="11"/>
      <c r="I2" s="11"/>
      <c r="J2" s="11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hidden="1" x14ac:dyDescent="0.2">
      <c r="A3" s="7" t="s">
        <v>13</v>
      </c>
      <c r="B3" s="7">
        <v>2.5100000000000001E-2</v>
      </c>
      <c r="C3" s="12" t="s">
        <v>14</v>
      </c>
      <c r="D3" s="7"/>
      <c r="E3" s="12"/>
      <c r="F3" s="12"/>
      <c r="G3" s="12"/>
      <c r="H3" s="11"/>
      <c r="I3" s="11"/>
      <c r="J3" s="11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hidden="1" x14ac:dyDescent="0.2">
      <c r="A4" s="7" t="s">
        <v>15</v>
      </c>
      <c r="B4" s="7">
        <v>1.1662213962132653</v>
      </c>
      <c r="C4" s="12" t="s">
        <v>16</v>
      </c>
      <c r="D4" s="7"/>
      <c r="E4" s="12"/>
      <c r="F4" s="12"/>
      <c r="G4" s="12"/>
      <c r="H4" s="11"/>
      <c r="I4" s="11"/>
      <c r="J4" s="11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spans="1:23" hidden="1" x14ac:dyDescent="0.2">
      <c r="A5" s="7" t="s">
        <v>17</v>
      </c>
      <c r="B5" s="7">
        <v>0.23324427924265306</v>
      </c>
      <c r="C5" s="12" t="s">
        <v>16</v>
      </c>
      <c r="D5" s="7"/>
      <c r="E5" s="12"/>
      <c r="F5" s="12"/>
      <c r="G5" s="12"/>
      <c r="H5" s="11"/>
      <c r="I5" s="11"/>
      <c r="J5" s="11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spans="1:23" hidden="1" x14ac:dyDescent="0.2">
      <c r="A6" s="7" t="s">
        <v>17</v>
      </c>
      <c r="B6" s="7">
        <v>20.080000000000002</v>
      </c>
      <c r="C6" s="12" t="s">
        <v>18</v>
      </c>
      <c r="D6" s="7"/>
      <c r="E6" s="12" t="s">
        <v>18</v>
      </c>
      <c r="F6" s="12"/>
      <c r="G6" s="12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spans="1:23" hidden="1" x14ac:dyDescent="0.2">
      <c r="A7" s="10"/>
      <c r="B7" s="8"/>
      <c r="C7" s="8"/>
      <c r="D7" s="8"/>
      <c r="E7" s="8"/>
      <c r="F7" s="8"/>
      <c r="G7" s="8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spans="1:23" hidden="1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spans="1:23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spans="1:23" ht="16" x14ac:dyDescent="0.2">
      <c r="A10" s="9"/>
      <c r="B10" s="13" t="s">
        <v>19</v>
      </c>
      <c r="C10" s="13" t="s">
        <v>20</v>
      </c>
      <c r="D10" s="13" t="s">
        <v>21</v>
      </c>
      <c r="E10" s="13" t="s">
        <v>22</v>
      </c>
      <c r="F10" s="13" t="s">
        <v>23</v>
      </c>
      <c r="G10" s="13" t="s">
        <v>24</v>
      </c>
      <c r="H10" s="13" t="s">
        <v>25</v>
      </c>
      <c r="I10" s="13" t="s">
        <v>26</v>
      </c>
      <c r="J10" s="14" t="s">
        <v>27</v>
      </c>
      <c r="K10" s="13" t="s">
        <v>28</v>
      </c>
      <c r="L10" s="13" t="s">
        <v>29</v>
      </c>
      <c r="M10" s="13" t="s">
        <v>30</v>
      </c>
      <c r="N10" s="13" t="s">
        <v>31</v>
      </c>
      <c r="O10" s="13" t="s">
        <v>32</v>
      </c>
      <c r="P10" s="13" t="s">
        <v>33</v>
      </c>
      <c r="Q10" s="13" t="s">
        <v>34</v>
      </c>
      <c r="R10" s="13" t="s">
        <v>35</v>
      </c>
      <c r="S10" s="13" t="s">
        <v>36</v>
      </c>
      <c r="T10" s="13" t="s">
        <v>37</v>
      </c>
      <c r="U10" s="13" t="s">
        <v>38</v>
      </c>
      <c r="V10" s="9"/>
      <c r="W10" s="9"/>
    </row>
    <row r="11" spans="1:23" x14ac:dyDescent="0.2">
      <c r="A11" s="15" t="s">
        <v>39</v>
      </c>
      <c r="B11" s="70">
        <v>92785</v>
      </c>
      <c r="C11" s="71">
        <v>122382</v>
      </c>
      <c r="D11" s="71">
        <v>104624</v>
      </c>
      <c r="E11" s="72">
        <v>143022</v>
      </c>
      <c r="F11" s="70">
        <v>88066</v>
      </c>
      <c r="G11">
        <v>84881</v>
      </c>
      <c r="H11">
        <v>80418</v>
      </c>
      <c r="I11">
        <v>59959</v>
      </c>
      <c r="J11" s="70">
        <v>67739</v>
      </c>
      <c r="K11" s="71">
        <v>93920</v>
      </c>
      <c r="L11" s="71">
        <v>75406</v>
      </c>
      <c r="M11" s="72">
        <v>40329</v>
      </c>
      <c r="N11" s="70">
        <v>82365</v>
      </c>
      <c r="O11">
        <v>112521</v>
      </c>
      <c r="P11">
        <v>35335</v>
      </c>
      <c r="Q11" s="72">
        <v>14303</v>
      </c>
      <c r="R11" s="71">
        <v>66763</v>
      </c>
      <c r="S11" s="71">
        <v>103554</v>
      </c>
      <c r="T11">
        <v>58814</v>
      </c>
      <c r="U11" s="16">
        <v>60351</v>
      </c>
      <c r="V11" s="9"/>
      <c r="W11" s="9"/>
    </row>
    <row r="12" spans="1:23" x14ac:dyDescent="0.2">
      <c r="A12" s="20" t="s">
        <v>40</v>
      </c>
      <c r="B12" s="2">
        <v>107710</v>
      </c>
      <c r="C12">
        <v>169905</v>
      </c>
      <c r="D12">
        <v>223654</v>
      </c>
      <c r="E12" s="17">
        <v>77447</v>
      </c>
      <c r="F12" s="2">
        <v>82786</v>
      </c>
      <c r="G12">
        <v>116016</v>
      </c>
      <c r="H12">
        <v>111794</v>
      </c>
      <c r="I12">
        <v>76744</v>
      </c>
      <c r="J12" s="2">
        <v>67189</v>
      </c>
      <c r="K12">
        <v>139478</v>
      </c>
      <c r="L12">
        <v>112635</v>
      </c>
      <c r="M12" s="17">
        <v>66059</v>
      </c>
      <c r="N12" s="2">
        <v>79404</v>
      </c>
      <c r="O12">
        <v>192003</v>
      </c>
      <c r="P12">
        <v>145849</v>
      </c>
      <c r="Q12" s="17">
        <v>75600</v>
      </c>
      <c r="R12">
        <v>67994</v>
      </c>
      <c r="S12">
        <v>105659</v>
      </c>
      <c r="T12">
        <v>97183</v>
      </c>
      <c r="U12" s="17">
        <v>87259</v>
      </c>
      <c r="V12" s="9"/>
      <c r="W12" s="9"/>
    </row>
    <row r="13" spans="1:23" x14ac:dyDescent="0.2">
      <c r="A13" s="20" t="s">
        <v>41</v>
      </c>
      <c r="B13" s="22">
        <v>6869</v>
      </c>
      <c r="C13">
        <v>118116</v>
      </c>
      <c r="D13">
        <v>274950</v>
      </c>
      <c r="E13" s="73">
        <v>666716</v>
      </c>
      <c r="F13" s="2">
        <v>22979</v>
      </c>
      <c r="G13">
        <v>127793</v>
      </c>
      <c r="H13">
        <v>320622</v>
      </c>
      <c r="I13">
        <v>466832</v>
      </c>
      <c r="J13" s="22">
        <v>70287</v>
      </c>
      <c r="K13">
        <v>249993</v>
      </c>
      <c r="L13">
        <v>416028</v>
      </c>
      <c r="M13" s="73">
        <v>603081</v>
      </c>
      <c r="N13" s="22">
        <v>16950</v>
      </c>
      <c r="O13">
        <v>248262</v>
      </c>
      <c r="P13">
        <v>513252</v>
      </c>
      <c r="Q13" s="73">
        <v>737992</v>
      </c>
      <c r="R13">
        <v>6718</v>
      </c>
      <c r="S13">
        <v>151459</v>
      </c>
      <c r="T13">
        <v>276724</v>
      </c>
      <c r="U13" s="73">
        <v>645910</v>
      </c>
      <c r="V13" s="9"/>
      <c r="W13" s="9"/>
    </row>
    <row r="14" spans="1:23" x14ac:dyDescent="0.2">
      <c r="A14" s="20" t="s">
        <v>42</v>
      </c>
      <c r="B14" s="2">
        <v>236649</v>
      </c>
      <c r="C14">
        <v>169419</v>
      </c>
      <c r="D14">
        <v>181467</v>
      </c>
      <c r="E14" s="73">
        <v>177399</v>
      </c>
      <c r="F14" s="2">
        <v>148107</v>
      </c>
      <c r="G14">
        <v>142303</v>
      </c>
      <c r="H14">
        <v>156141</v>
      </c>
      <c r="I14">
        <v>158905</v>
      </c>
      <c r="J14" s="2">
        <v>126288</v>
      </c>
      <c r="K14">
        <v>147864</v>
      </c>
      <c r="L14">
        <v>151789</v>
      </c>
      <c r="M14" s="73">
        <v>108335</v>
      </c>
      <c r="N14" s="2">
        <v>152178</v>
      </c>
      <c r="O14">
        <v>198808</v>
      </c>
      <c r="P14">
        <v>175666</v>
      </c>
      <c r="Q14" s="73">
        <v>118266</v>
      </c>
      <c r="R14">
        <v>127094</v>
      </c>
      <c r="S14">
        <v>175181</v>
      </c>
      <c r="T14">
        <v>178608</v>
      </c>
      <c r="U14" s="73">
        <v>227804</v>
      </c>
      <c r="V14" s="9"/>
      <c r="W14" s="9"/>
    </row>
    <row r="15" spans="1:23" x14ac:dyDescent="0.2">
      <c r="A15" s="20" t="s">
        <v>43</v>
      </c>
      <c r="B15" s="2">
        <v>35767</v>
      </c>
      <c r="C15">
        <v>98648</v>
      </c>
      <c r="D15">
        <v>82681</v>
      </c>
      <c r="E15" s="73">
        <v>194324</v>
      </c>
      <c r="F15" s="2">
        <v>36622</v>
      </c>
      <c r="G15">
        <v>77887</v>
      </c>
      <c r="H15" s="9">
        <v>71053</v>
      </c>
      <c r="I15">
        <v>134072</v>
      </c>
      <c r="J15" s="2">
        <v>66040</v>
      </c>
      <c r="K15">
        <v>97944</v>
      </c>
      <c r="L15">
        <v>101560</v>
      </c>
      <c r="M15" s="73">
        <v>99415</v>
      </c>
      <c r="N15" s="2">
        <v>39796</v>
      </c>
      <c r="O15">
        <v>124124</v>
      </c>
      <c r="P15">
        <v>84258</v>
      </c>
      <c r="Q15" s="73">
        <v>155395</v>
      </c>
      <c r="R15">
        <v>42941</v>
      </c>
      <c r="S15">
        <v>72394</v>
      </c>
      <c r="T15">
        <v>83666</v>
      </c>
      <c r="U15" s="17">
        <v>133799</v>
      </c>
      <c r="V15" s="9"/>
      <c r="W15" s="9"/>
    </row>
    <row r="16" spans="1:23" x14ac:dyDescent="0.2">
      <c r="A16" s="20" t="s">
        <v>44</v>
      </c>
      <c r="B16" s="2">
        <v>34084</v>
      </c>
      <c r="C16">
        <v>12553</v>
      </c>
      <c r="D16">
        <v>69572</v>
      </c>
      <c r="E16" s="73">
        <v>239560</v>
      </c>
      <c r="F16" s="2">
        <v>21942</v>
      </c>
      <c r="G16">
        <v>22412</v>
      </c>
      <c r="H16">
        <v>119386</v>
      </c>
      <c r="I16">
        <v>217513</v>
      </c>
      <c r="J16" s="2">
        <v>40563</v>
      </c>
      <c r="K16">
        <v>64300</v>
      </c>
      <c r="L16">
        <v>182568</v>
      </c>
      <c r="M16" s="73">
        <v>259200</v>
      </c>
      <c r="N16" s="22">
        <v>15466</v>
      </c>
      <c r="O16">
        <v>25260</v>
      </c>
      <c r="P16">
        <v>130900</v>
      </c>
      <c r="Q16" s="73">
        <v>260209</v>
      </c>
      <c r="R16">
        <v>12680</v>
      </c>
      <c r="S16">
        <v>44636</v>
      </c>
      <c r="T16" s="9">
        <v>166344</v>
      </c>
      <c r="U16" s="73">
        <v>470772</v>
      </c>
      <c r="V16" s="9"/>
      <c r="W16" s="9"/>
    </row>
    <row r="17" spans="1:23" x14ac:dyDescent="0.2">
      <c r="A17" s="20" t="s">
        <v>45</v>
      </c>
      <c r="B17" s="22">
        <v>23785</v>
      </c>
      <c r="C17">
        <v>24438</v>
      </c>
      <c r="D17">
        <v>45332</v>
      </c>
      <c r="E17" s="17">
        <v>144286</v>
      </c>
      <c r="F17" s="2">
        <v>30348</v>
      </c>
      <c r="G17">
        <v>125095</v>
      </c>
      <c r="H17">
        <v>72631</v>
      </c>
      <c r="I17" s="9">
        <v>193959</v>
      </c>
      <c r="J17" s="2">
        <v>21104</v>
      </c>
      <c r="K17">
        <v>147911</v>
      </c>
      <c r="L17">
        <v>68095</v>
      </c>
      <c r="M17" s="73">
        <v>166321</v>
      </c>
      <c r="N17" s="2">
        <v>33957</v>
      </c>
      <c r="O17">
        <v>234965</v>
      </c>
      <c r="P17">
        <v>37141</v>
      </c>
      <c r="Q17" s="73">
        <v>145279</v>
      </c>
      <c r="R17">
        <v>11660</v>
      </c>
      <c r="S17">
        <v>159089</v>
      </c>
      <c r="T17">
        <v>87945</v>
      </c>
      <c r="U17" s="17">
        <v>189653</v>
      </c>
      <c r="V17" s="9"/>
      <c r="W17" s="9"/>
    </row>
    <row r="18" spans="1:23" x14ac:dyDescent="0.2">
      <c r="A18" s="23" t="s">
        <v>46</v>
      </c>
      <c r="B18" s="74">
        <v>5670700</v>
      </c>
      <c r="C18" s="75">
        <v>5411219</v>
      </c>
      <c r="D18" s="75">
        <v>5210313</v>
      </c>
      <c r="E18" s="76">
        <v>5250875</v>
      </c>
      <c r="F18" s="74">
        <v>5101285</v>
      </c>
      <c r="G18" s="75">
        <v>5817686</v>
      </c>
      <c r="H18" s="75">
        <v>5345729</v>
      </c>
      <c r="I18" s="75">
        <v>5795222</v>
      </c>
      <c r="J18" s="74">
        <v>5062824</v>
      </c>
      <c r="K18" s="75">
        <v>5881099</v>
      </c>
      <c r="L18" s="75">
        <v>5432127</v>
      </c>
      <c r="M18" s="76">
        <v>5475418</v>
      </c>
      <c r="N18" s="74">
        <v>5228153</v>
      </c>
      <c r="O18" s="79">
        <v>6138720</v>
      </c>
      <c r="P18" s="75">
        <v>5246766</v>
      </c>
      <c r="Q18" s="76">
        <v>5389026</v>
      </c>
      <c r="R18" s="75">
        <v>5039301</v>
      </c>
      <c r="S18" s="75">
        <v>5940707</v>
      </c>
      <c r="T18" s="75">
        <v>5333472</v>
      </c>
      <c r="U18" s="76">
        <v>5535885</v>
      </c>
      <c r="V18" s="9"/>
      <c r="W18" s="9"/>
    </row>
    <row r="19" spans="1:23" x14ac:dyDescent="0.2">
      <c r="A19" s="20" t="s">
        <v>47</v>
      </c>
      <c r="B19" s="2">
        <v>590395</v>
      </c>
      <c r="C19">
        <v>749584</v>
      </c>
      <c r="D19">
        <v>814372</v>
      </c>
      <c r="E19" s="73">
        <v>1252739</v>
      </c>
      <c r="F19" s="2">
        <v>572047</v>
      </c>
      <c r="G19">
        <v>555950</v>
      </c>
      <c r="H19">
        <v>787524</v>
      </c>
      <c r="I19">
        <v>877217</v>
      </c>
      <c r="J19" s="2">
        <v>549923</v>
      </c>
      <c r="K19">
        <v>743134</v>
      </c>
      <c r="L19">
        <v>862942</v>
      </c>
      <c r="M19" s="73">
        <v>924241</v>
      </c>
      <c r="N19" s="2">
        <v>590450</v>
      </c>
      <c r="O19">
        <v>954815</v>
      </c>
      <c r="P19">
        <v>984354</v>
      </c>
      <c r="Q19" s="73">
        <v>967246</v>
      </c>
      <c r="R19">
        <v>485178</v>
      </c>
      <c r="S19">
        <v>765159</v>
      </c>
      <c r="T19">
        <v>832009</v>
      </c>
      <c r="U19" s="73">
        <v>1414921</v>
      </c>
      <c r="V19" s="9"/>
      <c r="W19" s="9"/>
    </row>
    <row r="20" spans="1:23" x14ac:dyDescent="0.2">
      <c r="A20" s="20" t="s">
        <v>48</v>
      </c>
      <c r="B20" s="2">
        <v>20645</v>
      </c>
      <c r="C20">
        <v>55579</v>
      </c>
      <c r="D20">
        <v>89062</v>
      </c>
      <c r="E20" s="73">
        <v>90440</v>
      </c>
      <c r="F20" s="2">
        <v>16963</v>
      </c>
      <c r="G20" s="9">
        <v>64526</v>
      </c>
      <c r="H20">
        <v>72737</v>
      </c>
      <c r="I20">
        <v>104245</v>
      </c>
      <c r="J20" s="2">
        <v>13138</v>
      </c>
      <c r="K20" s="9">
        <v>136150</v>
      </c>
      <c r="L20" s="9">
        <v>66775</v>
      </c>
      <c r="M20" s="73">
        <v>160977</v>
      </c>
      <c r="N20" s="2">
        <v>13255</v>
      </c>
      <c r="O20">
        <v>123660</v>
      </c>
      <c r="P20">
        <v>110836</v>
      </c>
      <c r="Q20" s="73">
        <v>139980</v>
      </c>
      <c r="R20">
        <v>10312</v>
      </c>
      <c r="S20">
        <v>107370</v>
      </c>
      <c r="T20">
        <v>107995</v>
      </c>
      <c r="U20" s="73">
        <v>59256</v>
      </c>
      <c r="V20" s="9"/>
      <c r="W20" s="9"/>
    </row>
    <row r="21" spans="1:23" x14ac:dyDescent="0.2">
      <c r="A21" s="26" t="s">
        <v>49</v>
      </c>
      <c r="B21" s="68">
        <v>26012</v>
      </c>
      <c r="C21" s="77">
        <v>28998</v>
      </c>
      <c r="D21" s="77">
        <v>29656</v>
      </c>
      <c r="E21" s="29">
        <v>39683</v>
      </c>
      <c r="F21" s="68">
        <v>21375</v>
      </c>
      <c r="G21" s="77">
        <v>20453</v>
      </c>
      <c r="H21" s="77">
        <v>19788</v>
      </c>
      <c r="I21" s="77">
        <v>26083</v>
      </c>
      <c r="J21" s="68">
        <v>22059</v>
      </c>
      <c r="K21" s="77">
        <v>24947</v>
      </c>
      <c r="L21" s="77">
        <v>26135</v>
      </c>
      <c r="M21" s="78">
        <v>26027</v>
      </c>
      <c r="N21" s="68">
        <v>22275</v>
      </c>
      <c r="O21" s="77">
        <v>33374</v>
      </c>
      <c r="P21" s="77">
        <v>27707</v>
      </c>
      <c r="Q21" s="78">
        <v>20419</v>
      </c>
      <c r="R21" s="77">
        <v>17925</v>
      </c>
      <c r="S21" s="77">
        <v>26322</v>
      </c>
      <c r="T21" s="77">
        <v>22694</v>
      </c>
      <c r="U21" s="78">
        <v>39886</v>
      </c>
      <c r="V21" s="9"/>
      <c r="W21" s="9"/>
    </row>
    <row r="22" spans="1:23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spans="1:23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 spans="1:23" ht="16" x14ac:dyDescent="0.2">
      <c r="A24" s="9"/>
      <c r="B24" s="124" t="s">
        <v>50</v>
      </c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9"/>
      <c r="W24" s="9"/>
    </row>
    <row r="25" spans="1:23" ht="16" x14ac:dyDescent="0.2">
      <c r="A25" s="9"/>
      <c r="B25" s="13" t="str">
        <f t="shared" ref="B25:U25" si="0">B10</f>
        <v>A_0h</v>
      </c>
      <c r="C25" s="13" t="str">
        <f t="shared" si="0"/>
        <v>A_12h</v>
      </c>
      <c r="D25" s="13" t="str">
        <f t="shared" si="0"/>
        <v>A_24h</v>
      </c>
      <c r="E25" s="13" t="str">
        <f t="shared" si="0"/>
        <v>A_48h</v>
      </c>
      <c r="F25" s="13" t="str">
        <f t="shared" si="0"/>
        <v>B_0h</v>
      </c>
      <c r="G25" s="13" t="str">
        <f t="shared" si="0"/>
        <v>B_12h</v>
      </c>
      <c r="H25" s="13" t="str">
        <f t="shared" si="0"/>
        <v>B_24h</v>
      </c>
      <c r="I25" s="13" t="str">
        <f t="shared" si="0"/>
        <v>B_48h</v>
      </c>
      <c r="J25" s="13" t="str">
        <f t="shared" si="0"/>
        <v>C_0h</v>
      </c>
      <c r="K25" s="13" t="str">
        <f t="shared" si="0"/>
        <v>C_12h</v>
      </c>
      <c r="L25" s="13" t="str">
        <f t="shared" si="0"/>
        <v>C_24h</v>
      </c>
      <c r="M25" s="13" t="str">
        <f t="shared" si="0"/>
        <v>C_48h</v>
      </c>
      <c r="N25" s="13" t="str">
        <f t="shared" si="0"/>
        <v>D_0h</v>
      </c>
      <c r="O25" s="13" t="str">
        <f t="shared" si="0"/>
        <v>D_12h</v>
      </c>
      <c r="P25" s="13" t="str">
        <f t="shared" si="0"/>
        <v>D_24h</v>
      </c>
      <c r="Q25" s="13" t="str">
        <f t="shared" si="0"/>
        <v>D_48h</v>
      </c>
      <c r="R25" s="13" t="str">
        <f t="shared" si="0"/>
        <v>E_0h</v>
      </c>
      <c r="S25" s="13" t="str">
        <f t="shared" si="0"/>
        <v>E_12h</v>
      </c>
      <c r="T25" s="13" t="str">
        <f t="shared" si="0"/>
        <v>E_24h</v>
      </c>
      <c r="U25" s="13" t="str">
        <f t="shared" si="0"/>
        <v>E_48h</v>
      </c>
      <c r="V25" s="9"/>
      <c r="W25" s="9"/>
    </row>
    <row r="26" spans="1:23" x14ac:dyDescent="0.2">
      <c r="A26" s="15" t="s">
        <v>39</v>
      </c>
      <c r="B26" s="18">
        <f>B11/$B$18</f>
        <v>1.6362177508949513E-2</v>
      </c>
      <c r="C26" s="19">
        <f t="shared" ref="C26:C36" si="1">C11/$C$18</f>
        <v>2.2616345780867492E-2</v>
      </c>
      <c r="D26" s="19">
        <f t="shared" ref="D26:D36" si="2">D11/$D$18</f>
        <v>2.0080175605573024E-2</v>
      </c>
      <c r="E26" s="16">
        <f t="shared" ref="E26:E36" si="3">E11/$E$18</f>
        <v>2.7237746089937391E-2</v>
      </c>
      <c r="F26" s="19">
        <f t="shared" ref="F26:F36" si="4">F11/$F$18</f>
        <v>1.7263493413914338E-2</v>
      </c>
      <c r="G26" s="19">
        <f t="shared" ref="G26:G36" si="5">G11/$G$18</f>
        <v>1.459016523064325E-2</v>
      </c>
      <c r="H26" s="19">
        <f t="shared" ref="H26:H36" si="6">H11/$H$18</f>
        <v>1.5043411291518894E-2</v>
      </c>
      <c r="I26" s="19">
        <f t="shared" ref="I26:I36" si="7">I11/$I$18</f>
        <v>1.0346281816296252E-2</v>
      </c>
      <c r="J26" s="18">
        <f t="shared" ref="J26:J36" si="8">J11/$J$18</f>
        <v>1.3379686909914309E-2</v>
      </c>
      <c r="K26" s="19">
        <f t="shared" ref="K26:K36" si="9">K11/$K$18</f>
        <v>1.5969804283179047E-2</v>
      </c>
      <c r="L26" s="19">
        <f t="shared" ref="L26:L36" si="10">L11/$L$18</f>
        <v>1.3881486938725844E-2</v>
      </c>
      <c r="M26" s="16">
        <f t="shared" ref="M26:M36" si="11">M11/$M$18</f>
        <v>7.3654650658634647E-3</v>
      </c>
      <c r="N26" s="31">
        <f t="shared" ref="N26:N36" si="12">N11/$N$18</f>
        <v>1.5754129613268778E-2</v>
      </c>
      <c r="O26" s="31">
        <f t="shared" ref="O26:O36" si="13">O11/$O$18</f>
        <v>1.8329716944248963E-2</v>
      </c>
      <c r="P26" s="19">
        <f t="shared" ref="P26:P36" si="14">P11/$P$18</f>
        <v>6.7346247193032817E-3</v>
      </c>
      <c r="Q26" s="19">
        <f t="shared" ref="Q26:Q36" si="15">Q11/$Q$18</f>
        <v>2.6540974194594717E-3</v>
      </c>
      <c r="R26" s="18">
        <f t="shared" ref="R26:R36" si="16">R11/$R$18</f>
        <v>1.3248464419966181E-2</v>
      </c>
      <c r="S26" s="19">
        <f t="shared" ref="S26:S36" si="17">S11/$S$18</f>
        <v>1.7431258602721864E-2</v>
      </c>
      <c r="T26" s="19">
        <f t="shared" ref="T26:T36" si="18">T11/$T$18</f>
        <v>1.1027338289204481E-2</v>
      </c>
      <c r="U26" s="16">
        <f t="shared" ref="U26:U36" si="19">U11/$U$18</f>
        <v>1.0901779932205962E-2</v>
      </c>
      <c r="V26" s="9"/>
      <c r="W26" s="9"/>
    </row>
    <row r="27" spans="1:23" x14ac:dyDescent="0.2">
      <c r="A27" s="20" t="s">
        <v>40</v>
      </c>
      <c r="B27" s="22">
        <f t="shared" ref="B27:B36" si="20">B12/$B$18</f>
        <v>1.899412770910117E-2</v>
      </c>
      <c r="C27" s="9">
        <f t="shared" si="1"/>
        <v>3.1398655275271616E-2</v>
      </c>
      <c r="D27" s="9">
        <f t="shared" si="2"/>
        <v>4.2925252283308124E-2</v>
      </c>
      <c r="E27" s="17">
        <f t="shared" si="3"/>
        <v>1.4749351298593092E-2</v>
      </c>
      <c r="F27" s="9">
        <f t="shared" si="4"/>
        <v>1.6228460084076857E-2</v>
      </c>
      <c r="G27" s="9">
        <f t="shared" si="5"/>
        <v>1.9941949428002818E-2</v>
      </c>
      <c r="H27" s="9">
        <f t="shared" si="6"/>
        <v>2.0912769801836196E-2</v>
      </c>
      <c r="I27" s="9">
        <f t="shared" si="7"/>
        <v>1.3242633327938085E-2</v>
      </c>
      <c r="J27" s="22">
        <f t="shared" si="8"/>
        <v>1.3271051887247117E-2</v>
      </c>
      <c r="K27" s="9">
        <f t="shared" si="9"/>
        <v>2.3716315606997943E-2</v>
      </c>
      <c r="L27" s="9">
        <f t="shared" si="10"/>
        <v>2.0734971770726272E-2</v>
      </c>
      <c r="M27" s="32">
        <f t="shared" si="11"/>
        <v>1.2064649676061261E-2</v>
      </c>
      <c r="N27" s="9">
        <f t="shared" si="12"/>
        <v>1.5187772813840757E-2</v>
      </c>
      <c r="O27" s="33">
        <f t="shared" si="13"/>
        <v>3.1277367268746581E-2</v>
      </c>
      <c r="P27" s="9">
        <f t="shared" si="14"/>
        <v>2.7797885402169643E-2</v>
      </c>
      <c r="Q27" s="9">
        <f t="shared" si="15"/>
        <v>1.4028509047831648E-2</v>
      </c>
      <c r="R27" s="22">
        <f t="shared" si="16"/>
        <v>1.34927443310094E-2</v>
      </c>
      <c r="S27" s="9">
        <f t="shared" si="17"/>
        <v>1.7785593532890949E-2</v>
      </c>
      <c r="T27" s="9">
        <f t="shared" si="18"/>
        <v>1.8221338745192626E-2</v>
      </c>
      <c r="U27" s="17">
        <f t="shared" si="19"/>
        <v>1.5762430036028566E-2</v>
      </c>
      <c r="V27" s="9"/>
      <c r="W27" s="9"/>
    </row>
    <row r="28" spans="1:23" x14ac:dyDescent="0.2">
      <c r="A28" s="20" t="s">
        <v>41</v>
      </c>
      <c r="B28" s="22">
        <f t="shared" si="20"/>
        <v>1.2113142998218915E-3</v>
      </c>
      <c r="C28" s="9">
        <f t="shared" si="1"/>
        <v>2.1827983676136559E-2</v>
      </c>
      <c r="D28" s="9">
        <f t="shared" si="2"/>
        <v>5.2770342204009626E-2</v>
      </c>
      <c r="E28" s="17">
        <f t="shared" si="3"/>
        <v>0.12697236174923227</v>
      </c>
      <c r="F28" s="33">
        <f t="shared" si="4"/>
        <v>4.5045513042302086E-3</v>
      </c>
      <c r="G28" s="33">
        <f t="shared" si="5"/>
        <v>2.1966293815101054E-2</v>
      </c>
      <c r="H28" s="9">
        <f t="shared" si="6"/>
        <v>5.9977226679466915E-2</v>
      </c>
      <c r="I28" s="9">
        <f t="shared" si="7"/>
        <v>8.0554636215834349E-2</v>
      </c>
      <c r="J28" s="22">
        <f t="shared" si="8"/>
        <v>1.388296334219795E-2</v>
      </c>
      <c r="K28" s="9">
        <f t="shared" si="9"/>
        <v>4.2507871402946963E-2</v>
      </c>
      <c r="L28" s="9">
        <f t="shared" si="10"/>
        <v>7.6586574651144934E-2</v>
      </c>
      <c r="M28" s="17">
        <f t="shared" si="11"/>
        <v>0.11014337170239788</v>
      </c>
      <c r="N28" s="9">
        <f t="shared" si="12"/>
        <v>3.2420627322880566E-3</v>
      </c>
      <c r="O28" s="9">
        <f t="shared" si="13"/>
        <v>4.0441981390257252E-2</v>
      </c>
      <c r="P28" s="9">
        <f t="shared" si="14"/>
        <v>9.7822544401637124E-2</v>
      </c>
      <c r="Q28" s="9">
        <f t="shared" si="15"/>
        <v>0.13694348477813986</v>
      </c>
      <c r="R28" s="22">
        <f t="shared" si="16"/>
        <v>1.3331213991781797E-3</v>
      </c>
      <c r="S28" s="9">
        <f t="shared" si="17"/>
        <v>2.5495113628731397E-2</v>
      </c>
      <c r="T28" s="9">
        <f t="shared" si="18"/>
        <v>5.1884401005573857E-2</v>
      </c>
      <c r="U28" s="17">
        <f t="shared" si="19"/>
        <v>0.11667691796343313</v>
      </c>
      <c r="V28" s="9"/>
      <c r="W28" s="9"/>
    </row>
    <row r="29" spans="1:23" x14ac:dyDescent="0.2">
      <c r="A29" s="20" t="s">
        <v>42</v>
      </c>
      <c r="B29" s="22">
        <f t="shared" si="20"/>
        <v>4.1731884952475005E-2</v>
      </c>
      <c r="C29" s="9">
        <f t="shared" si="1"/>
        <v>3.1308841870935182E-2</v>
      </c>
      <c r="D29" s="9">
        <f t="shared" si="2"/>
        <v>3.482842585464635E-2</v>
      </c>
      <c r="E29" s="17">
        <f t="shared" si="3"/>
        <v>3.3784654938462638E-2</v>
      </c>
      <c r="F29" s="9">
        <f t="shared" si="4"/>
        <v>2.90332729890606E-2</v>
      </c>
      <c r="G29" s="9">
        <f t="shared" si="5"/>
        <v>2.4460412610787175E-2</v>
      </c>
      <c r="H29" s="9">
        <f t="shared" si="6"/>
        <v>2.9208551350059085E-2</v>
      </c>
      <c r="I29" s="9">
        <f t="shared" si="7"/>
        <v>2.7420002201813839E-2</v>
      </c>
      <c r="J29" s="22">
        <f t="shared" si="8"/>
        <v>2.4944181350171367E-2</v>
      </c>
      <c r="K29" s="9">
        <f t="shared" si="9"/>
        <v>2.5142239571209396E-2</v>
      </c>
      <c r="L29" s="9">
        <f t="shared" si="10"/>
        <v>2.7942829760791675E-2</v>
      </c>
      <c r="M29" s="17">
        <f t="shared" si="11"/>
        <v>1.9785704032093988E-2</v>
      </c>
      <c r="N29" s="9">
        <f t="shared" si="12"/>
        <v>2.910741135540601E-2</v>
      </c>
      <c r="O29" s="9">
        <f t="shared" si="13"/>
        <v>3.2385904553392235E-2</v>
      </c>
      <c r="P29" s="9">
        <f t="shared" si="14"/>
        <v>3.3480814658019817E-2</v>
      </c>
      <c r="Q29" s="9">
        <f t="shared" si="15"/>
        <v>2.1945709669984891E-2</v>
      </c>
      <c r="R29" s="22">
        <f t="shared" si="16"/>
        <v>2.5220561343726043E-2</v>
      </c>
      <c r="S29" s="9">
        <f t="shared" si="17"/>
        <v>2.9488241046057313E-2</v>
      </c>
      <c r="T29" s="33">
        <f t="shared" si="18"/>
        <v>3.3488129308637975E-2</v>
      </c>
      <c r="U29" s="17">
        <f t="shared" si="19"/>
        <v>4.1150421296685176E-2</v>
      </c>
      <c r="V29" s="9"/>
      <c r="W29" s="9"/>
    </row>
    <row r="30" spans="1:23" x14ac:dyDescent="0.2">
      <c r="A30" s="20" t="s">
        <v>43</v>
      </c>
      <c r="B30" s="22">
        <f t="shared" si="20"/>
        <v>6.3073341915460173E-3</v>
      </c>
      <c r="C30" s="9">
        <f t="shared" si="1"/>
        <v>1.823027306786142E-2</v>
      </c>
      <c r="D30" s="9">
        <f t="shared" si="2"/>
        <v>1.5868720362864956E-2</v>
      </c>
      <c r="E30" s="17">
        <f t="shared" si="3"/>
        <v>3.7007927250220202E-2</v>
      </c>
      <c r="F30" s="9">
        <f t="shared" si="4"/>
        <v>7.1789754934295964E-3</v>
      </c>
      <c r="G30" s="9">
        <f t="shared" si="5"/>
        <v>1.3387969030985859E-2</v>
      </c>
      <c r="H30" s="9">
        <f t="shared" si="6"/>
        <v>1.329154545619503E-2</v>
      </c>
      <c r="I30" s="33">
        <f t="shared" si="7"/>
        <v>2.3134920456886726E-2</v>
      </c>
      <c r="J30" s="34">
        <f t="shared" si="8"/>
        <v>1.3044103448984204E-2</v>
      </c>
      <c r="K30" s="9">
        <f t="shared" si="9"/>
        <v>1.6654030139604859E-2</v>
      </c>
      <c r="L30" s="9">
        <f t="shared" si="10"/>
        <v>1.8696175549651178E-2</v>
      </c>
      <c r="M30" s="17">
        <f t="shared" si="11"/>
        <v>1.8156604664703223E-2</v>
      </c>
      <c r="N30" s="9">
        <f t="shared" si="12"/>
        <v>7.6118659878546017E-3</v>
      </c>
      <c r="O30" s="9">
        <f t="shared" si="13"/>
        <v>2.0219850392264184E-2</v>
      </c>
      <c r="P30" s="9">
        <f t="shared" si="14"/>
        <v>1.6059035222840128E-2</v>
      </c>
      <c r="Q30" s="9">
        <f t="shared" si="15"/>
        <v>2.8835451897986759E-2</v>
      </c>
      <c r="R30" s="22">
        <f t="shared" si="16"/>
        <v>8.5212214948065211E-3</v>
      </c>
      <c r="S30" s="9">
        <f t="shared" si="17"/>
        <v>1.2186091655420811E-2</v>
      </c>
      <c r="T30" s="9">
        <f t="shared" si="18"/>
        <v>1.5686967138854389E-2</v>
      </c>
      <c r="U30" s="17">
        <f t="shared" si="19"/>
        <v>2.4169396582479585E-2</v>
      </c>
      <c r="V30" s="9"/>
      <c r="W30" s="9"/>
    </row>
    <row r="31" spans="1:23" x14ac:dyDescent="0.2">
      <c r="A31" s="20" t="s">
        <v>44</v>
      </c>
      <c r="B31" s="22">
        <f t="shared" si="20"/>
        <v>6.0105454353078106E-3</v>
      </c>
      <c r="C31" s="9">
        <f t="shared" si="1"/>
        <v>2.3198100095375923E-3</v>
      </c>
      <c r="D31" s="9">
        <f t="shared" si="2"/>
        <v>1.3352748673640145E-2</v>
      </c>
      <c r="E31" s="17">
        <f t="shared" si="3"/>
        <v>4.5622872378413122E-2</v>
      </c>
      <c r="F31" s="9">
        <f t="shared" si="4"/>
        <v>4.3012691900178096E-3</v>
      </c>
      <c r="G31" s="9">
        <f t="shared" si="5"/>
        <v>3.8523907959281405E-3</v>
      </c>
      <c r="H31" s="9">
        <f t="shared" si="6"/>
        <v>2.2332968992629442E-2</v>
      </c>
      <c r="I31" s="9">
        <f t="shared" si="7"/>
        <v>3.7533160938442049E-2</v>
      </c>
      <c r="J31" s="22">
        <f t="shared" si="8"/>
        <v>8.0119316808168715E-3</v>
      </c>
      <c r="K31" s="9">
        <f t="shared" si="9"/>
        <v>1.0933330658096386E-2</v>
      </c>
      <c r="L31" s="9">
        <f t="shared" si="10"/>
        <v>3.3608934400834151E-2</v>
      </c>
      <c r="M31" s="17">
        <f t="shared" si="11"/>
        <v>4.733885157261053E-2</v>
      </c>
      <c r="N31" s="33">
        <f t="shared" si="12"/>
        <v>2.9582148800924532E-3</v>
      </c>
      <c r="O31" s="33">
        <f t="shared" si="13"/>
        <v>4.1148643365392134E-3</v>
      </c>
      <c r="P31" s="9">
        <f t="shared" si="14"/>
        <v>2.4948701733601232E-2</v>
      </c>
      <c r="Q31" s="9">
        <f t="shared" si="15"/>
        <v>4.828497765644478E-2</v>
      </c>
      <c r="R31" s="22">
        <f t="shared" si="16"/>
        <v>2.5162219918992731E-3</v>
      </c>
      <c r="S31" s="9">
        <f t="shared" si="17"/>
        <v>7.5135838209155915E-3</v>
      </c>
      <c r="T31" s="9">
        <f t="shared" si="18"/>
        <v>3.1188689094083556E-2</v>
      </c>
      <c r="U31" s="17">
        <f t="shared" si="19"/>
        <v>8.5040061345204962E-2</v>
      </c>
      <c r="V31" s="9"/>
      <c r="W31" s="9"/>
    </row>
    <row r="32" spans="1:23" x14ac:dyDescent="0.2">
      <c r="A32" s="20" t="s">
        <v>45</v>
      </c>
      <c r="B32" s="22">
        <f t="shared" si="20"/>
        <v>4.1943675383991396E-3</v>
      </c>
      <c r="C32" s="33">
        <f t="shared" si="1"/>
        <v>4.5161727884234591E-3</v>
      </c>
      <c r="D32" s="9">
        <f t="shared" si="2"/>
        <v>8.7004369986985429E-3</v>
      </c>
      <c r="E32" s="17">
        <f t="shared" si="3"/>
        <v>2.7478467874401884E-2</v>
      </c>
      <c r="F32" s="9">
        <f t="shared" si="4"/>
        <v>5.9490892980886192E-3</v>
      </c>
      <c r="G32" s="9">
        <f t="shared" si="5"/>
        <v>2.1502535544200906E-2</v>
      </c>
      <c r="H32" s="9">
        <f t="shared" si="6"/>
        <v>1.3586734381784038E-2</v>
      </c>
      <c r="I32" s="33">
        <f t="shared" si="7"/>
        <v>3.3468778245251005E-2</v>
      </c>
      <c r="J32" s="22">
        <f t="shared" si="8"/>
        <v>4.168424578851645E-3</v>
      </c>
      <c r="K32" s="33">
        <f t="shared" si="9"/>
        <v>2.5150231274800851E-2</v>
      </c>
      <c r="L32" s="9">
        <f t="shared" si="10"/>
        <v>1.2535605297887917E-2</v>
      </c>
      <c r="M32" s="17">
        <f t="shared" si="11"/>
        <v>3.0375945726883319E-2</v>
      </c>
      <c r="N32" s="9">
        <f t="shared" si="12"/>
        <v>6.4950279764192055E-3</v>
      </c>
      <c r="O32" s="9">
        <f t="shared" si="13"/>
        <v>3.8275894649047355E-2</v>
      </c>
      <c r="P32" s="9">
        <f t="shared" si="14"/>
        <v>7.0788367539166034E-3</v>
      </c>
      <c r="Q32" s="33">
        <f t="shared" si="15"/>
        <v>2.6958303782538811E-2</v>
      </c>
      <c r="R32" s="22">
        <f t="shared" si="16"/>
        <v>2.313812967314316E-3</v>
      </c>
      <c r="S32" s="9">
        <f t="shared" si="17"/>
        <v>2.6779472544261145E-2</v>
      </c>
      <c r="T32" s="9">
        <f t="shared" si="18"/>
        <v>1.6489258779271741E-2</v>
      </c>
      <c r="U32" s="17">
        <f t="shared" si="19"/>
        <v>3.4258840275764396E-2</v>
      </c>
      <c r="V32" s="9"/>
      <c r="W32" s="9"/>
    </row>
    <row r="33" spans="1:23" x14ac:dyDescent="0.2">
      <c r="A33" s="20" t="s">
        <v>46</v>
      </c>
      <c r="B33" s="35">
        <f t="shared" si="20"/>
        <v>1</v>
      </c>
      <c r="C33" s="9">
        <f t="shared" si="1"/>
        <v>1</v>
      </c>
      <c r="D33" s="9">
        <f t="shared" si="2"/>
        <v>1</v>
      </c>
      <c r="E33" s="17">
        <f t="shared" si="3"/>
        <v>1</v>
      </c>
      <c r="F33" s="9">
        <f t="shared" si="4"/>
        <v>1</v>
      </c>
      <c r="G33" s="9">
        <f t="shared" si="5"/>
        <v>1</v>
      </c>
      <c r="H33" s="36">
        <f t="shared" si="6"/>
        <v>1</v>
      </c>
      <c r="I33" s="9">
        <f t="shared" si="7"/>
        <v>1</v>
      </c>
      <c r="J33" s="22">
        <f t="shared" si="8"/>
        <v>1</v>
      </c>
      <c r="K33" s="36">
        <f t="shared" si="9"/>
        <v>1</v>
      </c>
      <c r="L33" s="9">
        <f t="shared" si="10"/>
        <v>1</v>
      </c>
      <c r="M33" s="17">
        <f t="shared" si="11"/>
        <v>1</v>
      </c>
      <c r="N33" s="9">
        <f t="shared" si="12"/>
        <v>1</v>
      </c>
      <c r="O33" s="9">
        <f t="shared" si="13"/>
        <v>1</v>
      </c>
      <c r="P33" s="9">
        <f t="shared" si="14"/>
        <v>1</v>
      </c>
      <c r="Q33" s="9">
        <f t="shared" si="15"/>
        <v>1</v>
      </c>
      <c r="R33" s="22">
        <f t="shared" si="16"/>
        <v>1</v>
      </c>
      <c r="S33" s="9">
        <f t="shared" si="17"/>
        <v>1</v>
      </c>
      <c r="T33" s="9">
        <f t="shared" si="18"/>
        <v>1</v>
      </c>
      <c r="U33" s="17">
        <f t="shared" si="19"/>
        <v>1</v>
      </c>
      <c r="V33" s="9"/>
      <c r="W33" s="9"/>
    </row>
    <row r="34" spans="1:23" x14ac:dyDescent="0.2">
      <c r="A34" s="20" t="s">
        <v>47</v>
      </c>
      <c r="B34" s="22">
        <f t="shared" si="20"/>
        <v>0.10411324880526214</v>
      </c>
      <c r="C34" s="9">
        <f t="shared" si="1"/>
        <v>0.13852405530066331</v>
      </c>
      <c r="D34" s="9">
        <f t="shared" si="2"/>
        <v>0.15630001498950255</v>
      </c>
      <c r="E34" s="17">
        <f t="shared" si="3"/>
        <v>0.23857718951603304</v>
      </c>
      <c r="F34" s="9">
        <f t="shared" si="4"/>
        <v>0.11213782409726177</v>
      </c>
      <c r="G34" s="9">
        <f t="shared" si="5"/>
        <v>9.5562049928442333E-2</v>
      </c>
      <c r="H34" s="9">
        <f t="shared" si="6"/>
        <v>0.14731835452189962</v>
      </c>
      <c r="I34" s="9">
        <f t="shared" si="7"/>
        <v>0.15136900708894327</v>
      </c>
      <c r="J34" s="22">
        <f t="shared" si="8"/>
        <v>0.10861981376401787</v>
      </c>
      <c r="K34" s="9">
        <f t="shared" si="9"/>
        <v>0.12635971610068117</v>
      </c>
      <c r="L34" s="9">
        <f t="shared" si="10"/>
        <v>0.15885895156722218</v>
      </c>
      <c r="M34" s="17">
        <f t="shared" si="11"/>
        <v>0.16879825430679449</v>
      </c>
      <c r="N34" s="33">
        <f t="shared" si="12"/>
        <v>0.11293663364480726</v>
      </c>
      <c r="O34" s="33">
        <f t="shared" si="13"/>
        <v>0.15553975421586258</v>
      </c>
      <c r="P34" s="9">
        <f t="shared" si="14"/>
        <v>0.18761156872633541</v>
      </c>
      <c r="Q34" s="9">
        <f t="shared" si="15"/>
        <v>0.17948438177882237</v>
      </c>
      <c r="R34" s="22">
        <f t="shared" si="16"/>
        <v>9.6278829147137673E-2</v>
      </c>
      <c r="S34" s="9">
        <f t="shared" si="17"/>
        <v>0.12879931631033142</v>
      </c>
      <c r="T34" s="9">
        <f t="shared" si="18"/>
        <v>0.15599763156157939</v>
      </c>
      <c r="U34" s="17">
        <f t="shared" si="19"/>
        <v>0.2555907501691238</v>
      </c>
      <c r="V34" s="9"/>
      <c r="W34" s="9"/>
    </row>
    <row r="35" spans="1:23" x14ac:dyDescent="0.2">
      <c r="A35" s="20" t="s">
        <v>48</v>
      </c>
      <c r="B35" s="34">
        <f t="shared" si="20"/>
        <v>3.640644012203079E-3</v>
      </c>
      <c r="C35" s="9">
        <f t="shared" si="1"/>
        <v>1.0271068311964457E-2</v>
      </c>
      <c r="D35" s="9">
        <f t="shared" si="2"/>
        <v>1.7093406864424461E-2</v>
      </c>
      <c r="E35" s="17">
        <f t="shared" si="3"/>
        <v>1.7223796033994335E-2</v>
      </c>
      <c r="F35" s="33">
        <f t="shared" si="4"/>
        <v>3.3252406011426532E-3</v>
      </c>
      <c r="G35" s="9">
        <f t="shared" si="5"/>
        <v>1.1091351441105622E-2</v>
      </c>
      <c r="H35" s="9">
        <f t="shared" si="6"/>
        <v>1.3606563295670244E-2</v>
      </c>
      <c r="I35" s="9">
        <f t="shared" si="7"/>
        <v>1.7988094330122297E-2</v>
      </c>
      <c r="J35" s="22">
        <f t="shared" si="8"/>
        <v>2.5949944141846525E-3</v>
      </c>
      <c r="K35" s="9">
        <f t="shared" si="9"/>
        <v>2.3150434978224308E-2</v>
      </c>
      <c r="L35" s="9">
        <f t="shared" si="10"/>
        <v>1.229260656092908E-2</v>
      </c>
      <c r="M35" s="17">
        <f t="shared" si="11"/>
        <v>2.939994718211468E-2</v>
      </c>
      <c r="N35" s="9">
        <f t="shared" si="12"/>
        <v>2.5353121838630199E-3</v>
      </c>
      <c r="O35" s="9">
        <f t="shared" si="13"/>
        <v>2.0144264602392683E-2</v>
      </c>
      <c r="P35" s="9">
        <f t="shared" si="14"/>
        <v>2.1124631820820673E-2</v>
      </c>
      <c r="Q35" s="9">
        <f t="shared" si="15"/>
        <v>2.5975009213167647E-2</v>
      </c>
      <c r="R35" s="22">
        <f t="shared" si="16"/>
        <v>2.0463155505098824E-3</v>
      </c>
      <c r="S35" s="9">
        <f t="shared" si="17"/>
        <v>1.8073606390619838E-2</v>
      </c>
      <c r="T35" s="9">
        <f t="shared" si="18"/>
        <v>2.0248536038063012E-2</v>
      </c>
      <c r="U35" s="17">
        <f t="shared" si="19"/>
        <v>1.0703979580500679E-2</v>
      </c>
      <c r="V35" s="9"/>
      <c r="W35" s="9"/>
    </row>
    <row r="36" spans="1:23" x14ac:dyDescent="0.2">
      <c r="A36" s="26" t="s">
        <v>49</v>
      </c>
      <c r="B36" s="27">
        <f t="shared" si="20"/>
        <v>4.5870880138254534E-3</v>
      </c>
      <c r="C36" s="28">
        <f t="shared" si="1"/>
        <v>5.3588664587406274E-3</v>
      </c>
      <c r="D36" s="28">
        <f t="shared" si="2"/>
        <v>5.6917885739302034E-3</v>
      </c>
      <c r="E36" s="29">
        <f t="shared" si="3"/>
        <v>7.5574070988168639E-3</v>
      </c>
      <c r="F36" s="28">
        <f t="shared" si="4"/>
        <v>4.1901207244841249E-3</v>
      </c>
      <c r="G36" s="28">
        <f t="shared" si="5"/>
        <v>3.515658975063281E-3</v>
      </c>
      <c r="H36" s="28">
        <f t="shared" si="6"/>
        <v>3.7016466790591143E-3</v>
      </c>
      <c r="I36" s="28">
        <f t="shared" si="7"/>
        <v>4.5007766743016923E-3</v>
      </c>
      <c r="J36" s="27">
        <f t="shared" si="8"/>
        <v>4.357054481846495E-3</v>
      </c>
      <c r="K36" s="28">
        <f t="shared" si="9"/>
        <v>4.2418942445961207E-3</v>
      </c>
      <c r="L36" s="28">
        <f t="shared" si="10"/>
        <v>4.8111909018327447E-3</v>
      </c>
      <c r="M36" s="29">
        <f t="shared" si="11"/>
        <v>4.7534270442914127E-3</v>
      </c>
      <c r="N36" s="28">
        <f t="shared" si="12"/>
        <v>4.2605868649980214E-3</v>
      </c>
      <c r="O36" s="28">
        <f t="shared" si="13"/>
        <v>5.436638256835301E-3</v>
      </c>
      <c r="P36" s="28">
        <f t="shared" si="14"/>
        <v>5.2807767680129051E-3</v>
      </c>
      <c r="Q36" s="28">
        <f t="shared" si="15"/>
        <v>3.7889963789374927E-3</v>
      </c>
      <c r="R36" s="37">
        <f t="shared" si="16"/>
        <v>3.5570409467503531E-3</v>
      </c>
      <c r="S36" s="28">
        <f t="shared" si="17"/>
        <v>4.4307857633779949E-3</v>
      </c>
      <c r="T36" s="28">
        <f t="shared" si="18"/>
        <v>4.2550143696263899E-3</v>
      </c>
      <c r="U36" s="29">
        <f t="shared" si="19"/>
        <v>7.2049907106090539E-3</v>
      </c>
      <c r="V36" s="9"/>
      <c r="W36" s="9"/>
    </row>
    <row r="37" spans="1:23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 spans="1:23" x14ac:dyDescent="0.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 spans="1:23" ht="16" x14ac:dyDescent="0.2">
      <c r="A39" s="9"/>
      <c r="B39" s="124" t="s">
        <v>51</v>
      </c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9"/>
      <c r="W39" s="9"/>
    </row>
    <row r="40" spans="1:23" ht="16" x14ac:dyDescent="0.2">
      <c r="A40" s="9"/>
      <c r="B40" s="13" t="str">
        <f t="shared" ref="B40:U40" si="21">B10</f>
        <v>A_0h</v>
      </c>
      <c r="C40" s="13" t="str">
        <f t="shared" si="21"/>
        <v>A_12h</v>
      </c>
      <c r="D40" s="13" t="str">
        <f t="shared" si="21"/>
        <v>A_24h</v>
      </c>
      <c r="E40" s="13" t="str">
        <f t="shared" si="21"/>
        <v>A_48h</v>
      </c>
      <c r="F40" s="13" t="str">
        <f t="shared" si="21"/>
        <v>B_0h</v>
      </c>
      <c r="G40" s="13" t="str">
        <f t="shared" si="21"/>
        <v>B_12h</v>
      </c>
      <c r="H40" s="13" t="str">
        <f t="shared" si="21"/>
        <v>B_24h</v>
      </c>
      <c r="I40" s="13" t="str">
        <f t="shared" si="21"/>
        <v>B_48h</v>
      </c>
      <c r="J40" s="13" t="str">
        <f t="shared" si="21"/>
        <v>C_0h</v>
      </c>
      <c r="K40" s="13" t="str">
        <f t="shared" si="21"/>
        <v>C_12h</v>
      </c>
      <c r="L40" s="13" t="str">
        <f t="shared" si="21"/>
        <v>C_24h</v>
      </c>
      <c r="M40" s="13" t="str">
        <f t="shared" si="21"/>
        <v>C_48h</v>
      </c>
      <c r="N40" s="13" t="str">
        <f t="shared" si="21"/>
        <v>D_0h</v>
      </c>
      <c r="O40" s="13" t="str">
        <f t="shared" si="21"/>
        <v>D_12h</v>
      </c>
      <c r="P40" s="13" t="str">
        <f t="shared" si="21"/>
        <v>D_24h</v>
      </c>
      <c r="Q40" s="13" t="str">
        <f t="shared" si="21"/>
        <v>D_48h</v>
      </c>
      <c r="R40" s="13" t="str">
        <f t="shared" si="21"/>
        <v>E_0h</v>
      </c>
      <c r="S40" s="13" t="str">
        <f t="shared" si="21"/>
        <v>E_12h</v>
      </c>
      <c r="T40" s="13" t="str">
        <f t="shared" si="21"/>
        <v>E_24h</v>
      </c>
      <c r="U40" s="13" t="str">
        <f t="shared" si="21"/>
        <v>E_48h</v>
      </c>
      <c r="V40" s="9"/>
      <c r="W40" s="9"/>
    </row>
    <row r="41" spans="1:23" x14ac:dyDescent="0.2">
      <c r="A41" s="15" t="s">
        <v>39</v>
      </c>
      <c r="B41" s="38">
        <f>(B26-$E53)/$C53</f>
        <v>4.1839381969304208</v>
      </c>
      <c r="C41" s="39">
        <f t="shared" ref="C41:U41" si="22">(C26-$E53)/$C53</f>
        <v>5.9212071613520818</v>
      </c>
      <c r="D41" s="39">
        <f t="shared" si="22"/>
        <v>5.2167154459925076</v>
      </c>
      <c r="E41" s="40">
        <f t="shared" si="22"/>
        <v>7.2049294694270536</v>
      </c>
      <c r="F41" s="39">
        <f t="shared" si="22"/>
        <v>4.4343037260873164</v>
      </c>
      <c r="G41" s="39">
        <f t="shared" si="22"/>
        <v>3.6917125640675699</v>
      </c>
      <c r="H41" s="39">
        <f t="shared" si="22"/>
        <v>3.817614247644137</v>
      </c>
      <c r="I41" s="40">
        <f t="shared" si="22"/>
        <v>2.5128560600822922</v>
      </c>
      <c r="J41" s="39">
        <f t="shared" si="22"/>
        <v>3.3554685860873086</v>
      </c>
      <c r="K41" s="39">
        <f t="shared" si="22"/>
        <v>4.0749456342164025</v>
      </c>
      <c r="L41" s="39">
        <f t="shared" si="22"/>
        <v>3.494857482979401</v>
      </c>
      <c r="M41" s="40">
        <f t="shared" si="22"/>
        <v>1.6848514071842957</v>
      </c>
      <c r="N41" s="38">
        <f t="shared" si="22"/>
        <v>4.015036003685772</v>
      </c>
      <c r="O41" s="39">
        <f t="shared" si="22"/>
        <v>4.7304769289580459</v>
      </c>
      <c r="P41" s="39">
        <f t="shared" si="22"/>
        <v>1.5096179775842449</v>
      </c>
      <c r="Q41" s="40">
        <f t="shared" si="22"/>
        <v>0.37613817207207551</v>
      </c>
      <c r="R41" s="39">
        <f t="shared" si="22"/>
        <v>3.3190178944350506</v>
      </c>
      <c r="S41" s="39">
        <f t="shared" si="22"/>
        <v>4.4809051674227405</v>
      </c>
      <c r="T41" s="39">
        <f t="shared" si="22"/>
        <v>2.7020384136679119</v>
      </c>
      <c r="U41" s="40">
        <f t="shared" si="22"/>
        <v>2.6671610922794344</v>
      </c>
      <c r="V41" s="9"/>
      <c r="W41" s="9"/>
    </row>
    <row r="42" spans="1:23" x14ac:dyDescent="0.2">
      <c r="A42" s="20" t="s">
        <v>40</v>
      </c>
      <c r="B42" s="41">
        <f t="shared" ref="B42:U47" si="23">(B27-$E54)/$C54</f>
        <v>3.6237766060627439</v>
      </c>
      <c r="C42" s="42">
        <f t="shared" si="23"/>
        <v>6.2080531823482534</v>
      </c>
      <c r="D42" s="42">
        <f t="shared" si="23"/>
        <v>8.609427559022528</v>
      </c>
      <c r="E42" s="43">
        <f t="shared" si="23"/>
        <v>2.7394481872068943</v>
      </c>
      <c r="F42" s="42">
        <f t="shared" si="23"/>
        <v>3.0475958508493455</v>
      </c>
      <c r="G42" s="42">
        <f t="shared" si="23"/>
        <v>3.8212394641672538</v>
      </c>
      <c r="H42" s="42">
        <f t="shared" si="23"/>
        <v>4.0234937087158746</v>
      </c>
      <c r="I42" s="43">
        <f t="shared" si="23"/>
        <v>2.4255486099871009</v>
      </c>
      <c r="J42" s="42">
        <f t="shared" si="23"/>
        <v>2.4314691431764826</v>
      </c>
      <c r="K42" s="42">
        <f t="shared" si="23"/>
        <v>4.6075657514579049</v>
      </c>
      <c r="L42" s="42">
        <f t="shared" si="23"/>
        <v>3.9864524522346403</v>
      </c>
      <c r="M42" s="43">
        <f t="shared" si="23"/>
        <v>2.1801353491794293</v>
      </c>
      <c r="N42" s="41">
        <f t="shared" si="23"/>
        <v>2.830786002883491</v>
      </c>
      <c r="O42" s="42">
        <f t="shared" si="23"/>
        <v>6.1827848476555385</v>
      </c>
      <c r="P42" s="42">
        <f t="shared" si="23"/>
        <v>5.4578927921186757</v>
      </c>
      <c r="Q42" s="43">
        <f t="shared" si="23"/>
        <v>2.5892727182982602</v>
      </c>
      <c r="R42" s="42">
        <f t="shared" si="23"/>
        <v>2.4776550689602916</v>
      </c>
      <c r="S42" s="42">
        <f t="shared" si="23"/>
        <v>3.3719986526856145</v>
      </c>
      <c r="T42" s="42">
        <f t="shared" si="23"/>
        <v>3.4627789052484639</v>
      </c>
      <c r="U42" s="43">
        <f t="shared" si="23"/>
        <v>2.9505062575059515</v>
      </c>
      <c r="V42" s="9"/>
      <c r="W42" s="9"/>
    </row>
    <row r="43" spans="1:23" x14ac:dyDescent="0.2">
      <c r="A43" s="20" t="s">
        <v>41</v>
      </c>
      <c r="B43" s="41">
        <f t="shared" si="23"/>
        <v>4.1904814155154088E-3</v>
      </c>
      <c r="C43" s="42">
        <f t="shared" si="23"/>
        <v>7.6399939541246509</v>
      </c>
      <c r="D43" s="42">
        <f t="shared" si="23"/>
        <v>19.100126742225786</v>
      </c>
      <c r="E43" s="43">
        <f t="shared" si="23"/>
        <v>46.582356203419351</v>
      </c>
      <c r="F43" s="42">
        <f t="shared" si="23"/>
        <v>1.2239078904556329</v>
      </c>
      <c r="G43" s="42">
        <f t="shared" si="23"/>
        <v>7.6912199315189085</v>
      </c>
      <c r="H43" s="42">
        <f t="shared" si="23"/>
        <v>21.769343214617376</v>
      </c>
      <c r="I43" s="43">
        <f t="shared" si="23"/>
        <v>29.390606005864569</v>
      </c>
      <c r="J43" s="42">
        <f t="shared" si="23"/>
        <v>4.6973938304436853</v>
      </c>
      <c r="K43" s="42">
        <f t="shared" si="23"/>
        <v>15.299211630721096</v>
      </c>
      <c r="L43" s="42">
        <f t="shared" si="23"/>
        <v>27.920953574498121</v>
      </c>
      <c r="M43" s="43">
        <f t="shared" si="23"/>
        <v>40.349396926814023</v>
      </c>
      <c r="N43" s="41">
        <f t="shared" si="23"/>
        <v>0.75631953047705791</v>
      </c>
      <c r="O43" s="42">
        <f t="shared" si="23"/>
        <v>14.534067181576759</v>
      </c>
      <c r="P43" s="42">
        <f t="shared" si="23"/>
        <v>35.786127556161894</v>
      </c>
      <c r="Q43" s="43">
        <f t="shared" si="23"/>
        <v>50.275364732644391</v>
      </c>
      <c r="R43" s="42">
        <f t="shared" si="23"/>
        <v>4.9304221917844372E-2</v>
      </c>
      <c r="S43" s="42">
        <f t="shared" si="23"/>
        <v>8.9981902328634806</v>
      </c>
      <c r="T43" s="42">
        <f t="shared" si="23"/>
        <v>18.772000372434761</v>
      </c>
      <c r="U43" s="43">
        <f t="shared" si="23"/>
        <v>42.769228875345597</v>
      </c>
      <c r="V43" s="9"/>
      <c r="W43" s="9"/>
    </row>
    <row r="44" spans="1:23" x14ac:dyDescent="0.2">
      <c r="A44" s="20" t="s">
        <v>42</v>
      </c>
      <c r="B44" s="41">
        <f t="shared" si="23"/>
        <v>15.641438871287038</v>
      </c>
      <c r="C44" s="42">
        <f t="shared" si="23"/>
        <v>11.781052544790807</v>
      </c>
      <c r="D44" s="42">
        <f t="shared" si="23"/>
        <v>13.084602168387537</v>
      </c>
      <c r="E44" s="43">
        <f t="shared" si="23"/>
        <v>12.698020347578755</v>
      </c>
      <c r="F44" s="42">
        <f t="shared" si="23"/>
        <v>10.938249255207628</v>
      </c>
      <c r="G44" s="42">
        <f t="shared" si="23"/>
        <v>9.2445972632545086</v>
      </c>
      <c r="H44" s="42">
        <f t="shared" si="23"/>
        <v>11.00316716668855</v>
      </c>
      <c r="I44" s="43">
        <f t="shared" si="23"/>
        <v>10.340741556227348</v>
      </c>
      <c r="J44" s="42">
        <f t="shared" si="23"/>
        <v>9.4237708704338399</v>
      </c>
      <c r="K44" s="42">
        <f t="shared" si="23"/>
        <v>9.497125767114591</v>
      </c>
      <c r="L44" s="42">
        <f t="shared" si="23"/>
        <v>10.534381392885805</v>
      </c>
      <c r="M44" s="43">
        <f t="shared" si="23"/>
        <v>7.5132237155903656</v>
      </c>
      <c r="N44" s="41">
        <f t="shared" si="23"/>
        <v>10.965707909409632</v>
      </c>
      <c r="O44" s="42">
        <f t="shared" si="23"/>
        <v>12.17996464940453</v>
      </c>
      <c r="P44" s="42">
        <f t="shared" si="23"/>
        <v>12.585486910377709</v>
      </c>
      <c r="Q44" s="43">
        <f t="shared" si="23"/>
        <v>8.3132258036981082</v>
      </c>
      <c r="R44" s="42">
        <f t="shared" si="23"/>
        <v>9.5261338310096448</v>
      </c>
      <c r="S44" s="42">
        <f t="shared" si="23"/>
        <v>11.10675594298419</v>
      </c>
      <c r="T44" s="42">
        <f t="shared" si="23"/>
        <v>12.588196040236287</v>
      </c>
      <c r="U44" s="43">
        <f t="shared" si="23"/>
        <v>15.42608196173525</v>
      </c>
      <c r="V44" s="9"/>
      <c r="W44" s="9"/>
    </row>
    <row r="45" spans="1:23" x14ac:dyDescent="0.2">
      <c r="A45" s="20" t="s">
        <v>43</v>
      </c>
      <c r="B45" s="41">
        <f t="shared" si="23"/>
        <v>1.029815053207227</v>
      </c>
      <c r="C45" s="42">
        <f t="shared" si="23"/>
        <v>4.3417425188503938</v>
      </c>
      <c r="D45" s="42">
        <f t="shared" si="23"/>
        <v>3.6857556563513767</v>
      </c>
      <c r="E45" s="43">
        <f t="shared" si="23"/>
        <v>9.5577575695056129</v>
      </c>
      <c r="F45" s="42">
        <f t="shared" si="23"/>
        <v>1.2719376370637769</v>
      </c>
      <c r="G45" s="42">
        <f t="shared" si="23"/>
        <v>2.9966580641627387</v>
      </c>
      <c r="H45" s="42">
        <f t="shared" si="23"/>
        <v>2.9698737378319526</v>
      </c>
      <c r="I45" s="43">
        <f t="shared" si="23"/>
        <v>5.7041445713574248</v>
      </c>
      <c r="J45" s="42">
        <f t="shared" si="23"/>
        <v>2.9011398469400564</v>
      </c>
      <c r="K45" s="42">
        <f t="shared" si="23"/>
        <v>3.90389726100135</v>
      </c>
      <c r="L45" s="42">
        <f t="shared" si="23"/>
        <v>4.4711598749031047</v>
      </c>
      <c r="M45" s="43">
        <f t="shared" si="23"/>
        <v>4.3212790735286735</v>
      </c>
      <c r="N45" s="41">
        <f t="shared" si="23"/>
        <v>1.3921849966262783</v>
      </c>
      <c r="O45" s="42">
        <f t="shared" si="23"/>
        <v>4.8944028867400515</v>
      </c>
      <c r="P45" s="42">
        <f t="shared" si="23"/>
        <v>3.7386208952333688</v>
      </c>
      <c r="Q45" s="43">
        <f t="shared" si="23"/>
        <v>7.2876255272185446</v>
      </c>
      <c r="R45" s="42">
        <f t="shared" si="23"/>
        <v>1.6447837485573671</v>
      </c>
      <c r="S45" s="42">
        <f t="shared" si="23"/>
        <v>2.6628032376168922</v>
      </c>
      <c r="T45" s="42">
        <f t="shared" si="23"/>
        <v>3.635268649681775</v>
      </c>
      <c r="U45" s="43">
        <f t="shared" si="23"/>
        <v>5.9914990506887733</v>
      </c>
      <c r="V45" s="9"/>
      <c r="W45" s="9"/>
    </row>
    <row r="46" spans="1:23" x14ac:dyDescent="0.2">
      <c r="A46" s="20" t="s">
        <v>44</v>
      </c>
      <c r="B46" s="41">
        <f t="shared" si="23"/>
        <v>2.2261279390028927</v>
      </c>
      <c r="C46" s="42">
        <f t="shared" si="23"/>
        <v>0.85918889242133045</v>
      </c>
      <c r="D46" s="42">
        <f t="shared" si="23"/>
        <v>4.9454624717185718</v>
      </c>
      <c r="E46" s="43">
        <f t="shared" si="23"/>
        <v>16.897360140153008</v>
      </c>
      <c r="F46" s="42">
        <f t="shared" si="23"/>
        <v>1.593062662969559</v>
      </c>
      <c r="G46" s="42">
        <f t="shared" si="23"/>
        <v>1.4268114058993111</v>
      </c>
      <c r="H46" s="42">
        <f t="shared" si="23"/>
        <v>8.2714699972701631</v>
      </c>
      <c r="I46" s="43">
        <f t="shared" si="23"/>
        <v>13.901170717941499</v>
      </c>
      <c r="J46" s="42">
        <f t="shared" si="23"/>
        <v>2.9673821040062487</v>
      </c>
      <c r="K46" s="42">
        <f t="shared" si="23"/>
        <v>4.0493817252208837</v>
      </c>
      <c r="L46" s="42">
        <f t="shared" si="23"/>
        <v>12.447753481790425</v>
      </c>
      <c r="M46" s="43">
        <f t="shared" si="23"/>
        <v>17.532907989855751</v>
      </c>
      <c r="N46" s="41">
        <f t="shared" si="23"/>
        <v>1.0956351407749827</v>
      </c>
      <c r="O46" s="42">
        <f t="shared" si="23"/>
        <v>1.5240238283478567</v>
      </c>
      <c r="P46" s="42">
        <f t="shared" si="23"/>
        <v>9.2402599013337898</v>
      </c>
      <c r="Q46" s="43">
        <f t="shared" si="23"/>
        <v>17.88332505794251</v>
      </c>
      <c r="R46" s="42">
        <f t="shared" si="23"/>
        <v>0.93193407107380477</v>
      </c>
      <c r="S46" s="42">
        <f t="shared" si="23"/>
        <v>2.7828088225613299</v>
      </c>
      <c r="T46" s="42">
        <f t="shared" si="23"/>
        <v>11.551366331142058</v>
      </c>
      <c r="U46" s="43">
        <f t="shared" si="23"/>
        <v>31.496319016742579</v>
      </c>
      <c r="V46" s="9"/>
      <c r="W46" s="9"/>
    </row>
    <row r="47" spans="1:23" x14ac:dyDescent="0.2">
      <c r="A47" s="20" t="s">
        <v>45</v>
      </c>
      <c r="B47" s="41">
        <f t="shared" si="23"/>
        <v>3.2286028993842844</v>
      </c>
      <c r="C47" s="42">
        <f t="shared" si="23"/>
        <v>3.3523741493936385</v>
      </c>
      <c r="D47" s="42">
        <f t="shared" si="23"/>
        <v>4.9617065379609775</v>
      </c>
      <c r="E47" s="43">
        <f t="shared" si="23"/>
        <v>12.184026105539187</v>
      </c>
      <c r="F47" s="42">
        <f t="shared" si="23"/>
        <v>3.9034958838802387</v>
      </c>
      <c r="G47" s="42">
        <f t="shared" si="23"/>
        <v>9.8855905939234248</v>
      </c>
      <c r="H47" s="42">
        <f t="shared" si="23"/>
        <v>6.8410516853015526</v>
      </c>
      <c r="I47" s="43">
        <f t="shared" si="23"/>
        <v>14.48799163278885</v>
      </c>
      <c r="J47" s="42">
        <f t="shared" si="23"/>
        <v>3.2186248380198634</v>
      </c>
      <c r="K47" s="42">
        <f t="shared" si="23"/>
        <v>11.288550490308019</v>
      </c>
      <c r="L47" s="42">
        <f t="shared" si="23"/>
        <v>6.4367712684184299</v>
      </c>
      <c r="M47" s="43">
        <f t="shared" si="23"/>
        <v>13.298440664185893</v>
      </c>
      <c r="N47" s="41">
        <f t="shared" si="23"/>
        <v>4.1134722986227716</v>
      </c>
      <c r="O47" s="42">
        <f t="shared" si="23"/>
        <v>16.336882557325907</v>
      </c>
      <c r="P47" s="42">
        <f t="shared" si="23"/>
        <v>4.338014136121771</v>
      </c>
      <c r="Q47" s="43">
        <f t="shared" si="23"/>
        <v>11.983962993284159</v>
      </c>
      <c r="R47" s="42">
        <f t="shared" si="23"/>
        <v>2.5053126797362757</v>
      </c>
      <c r="S47" s="42">
        <f t="shared" si="23"/>
        <v>11.915181747792749</v>
      </c>
      <c r="T47" s="42">
        <f t="shared" si="23"/>
        <v>7.9574072227968236</v>
      </c>
      <c r="U47" s="43">
        <f t="shared" si="23"/>
        <v>14.791861644524769</v>
      </c>
      <c r="V47" s="9"/>
      <c r="W47" s="9"/>
    </row>
    <row r="48" spans="1:23" x14ac:dyDescent="0.2">
      <c r="A48" s="20" t="s">
        <v>47</v>
      </c>
      <c r="B48" s="41">
        <f t="shared" ref="B48:U50" si="24">(B34-$E60)/$C60</f>
        <v>42.005299522104856</v>
      </c>
      <c r="C48" s="42">
        <f t="shared" si="24"/>
        <v>55.769622120265325</v>
      </c>
      <c r="D48" s="42">
        <f t="shared" si="24"/>
        <v>62.880005995801021</v>
      </c>
      <c r="E48" s="43">
        <f t="shared" si="24"/>
        <v>95.790875806413226</v>
      </c>
      <c r="F48" s="42">
        <f t="shared" si="24"/>
        <v>45.215129638904706</v>
      </c>
      <c r="G48" s="42">
        <f t="shared" si="24"/>
        <v>38.58481997137693</v>
      </c>
      <c r="H48" s="42">
        <f t="shared" si="24"/>
        <v>59.287341808759848</v>
      </c>
      <c r="I48" s="43">
        <f t="shared" si="24"/>
        <v>60.907602835577315</v>
      </c>
      <c r="J48" s="42">
        <f t="shared" si="24"/>
        <v>43.807925505607145</v>
      </c>
      <c r="K48" s="42">
        <f t="shared" si="24"/>
        <v>50.903886440272473</v>
      </c>
      <c r="L48" s="42">
        <f t="shared" si="24"/>
        <v>63.903580626888875</v>
      </c>
      <c r="M48" s="43">
        <f t="shared" si="24"/>
        <v>67.879301722717798</v>
      </c>
      <c r="N48" s="41">
        <f t="shared" si="24"/>
        <v>45.5346534579229</v>
      </c>
      <c r="O48" s="42">
        <f t="shared" si="24"/>
        <v>62.575901686345034</v>
      </c>
      <c r="P48" s="42">
        <f t="shared" si="24"/>
        <v>75.404627490534168</v>
      </c>
      <c r="Q48" s="43">
        <f t="shared" si="24"/>
        <v>72.153752711528952</v>
      </c>
      <c r="R48" s="42">
        <f t="shared" si="24"/>
        <v>38.871531658855069</v>
      </c>
      <c r="S48" s="42">
        <f t="shared" si="24"/>
        <v>51.879726524132572</v>
      </c>
      <c r="T48" s="42">
        <f t="shared" si="24"/>
        <v>62.759052624631764</v>
      </c>
      <c r="U48" s="43">
        <f t="shared" si="24"/>
        <v>102.59630006764952</v>
      </c>
      <c r="V48" s="9"/>
      <c r="W48" s="9"/>
    </row>
    <row r="49" spans="1:23" x14ac:dyDescent="0.2">
      <c r="A49" s="20" t="s">
        <v>48</v>
      </c>
      <c r="B49" s="41">
        <f t="shared" si="24"/>
        <v>1.8002800053056867</v>
      </c>
      <c r="C49" s="42">
        <f t="shared" si="24"/>
        <v>4.6830731791149818</v>
      </c>
      <c r="D49" s="42">
        <f t="shared" si="24"/>
        <v>7.6493073323584619</v>
      </c>
      <c r="E49" s="43">
        <f t="shared" si="24"/>
        <v>7.7059982756497112</v>
      </c>
      <c r="F49" s="42">
        <f t="shared" si="24"/>
        <v>1.6631480874533275</v>
      </c>
      <c r="G49" s="42">
        <f t="shared" si="24"/>
        <v>5.0397180178720093</v>
      </c>
      <c r="H49" s="42">
        <f t="shared" si="24"/>
        <v>6.1332883894218453</v>
      </c>
      <c r="I49" s="43">
        <f t="shared" si="24"/>
        <v>8.0383018826618695</v>
      </c>
      <c r="J49" s="42">
        <f t="shared" si="24"/>
        <v>1.345649745297675</v>
      </c>
      <c r="K49" s="42">
        <f t="shared" si="24"/>
        <v>10.282797816619265</v>
      </c>
      <c r="L49" s="42">
        <f t="shared" si="24"/>
        <v>5.5620028525778613</v>
      </c>
      <c r="M49" s="43">
        <f t="shared" si="24"/>
        <v>12.999977035702035</v>
      </c>
      <c r="N49" s="41">
        <f t="shared" si="24"/>
        <v>1.3197009495056609</v>
      </c>
      <c r="O49" s="42">
        <f t="shared" si="24"/>
        <v>8.9757672184316011</v>
      </c>
      <c r="P49" s="42">
        <f t="shared" si="24"/>
        <v>9.4020138351394227</v>
      </c>
      <c r="Q49" s="43">
        <f t="shared" si="24"/>
        <v>11.510873570942456</v>
      </c>
      <c r="R49" s="42">
        <f t="shared" si="24"/>
        <v>1.1070937176129925</v>
      </c>
      <c r="S49" s="42">
        <f t="shared" si="24"/>
        <v>8.0754810393999303</v>
      </c>
      <c r="T49" s="42">
        <f t="shared" si="24"/>
        <v>9.0211026252447883</v>
      </c>
      <c r="U49" s="43">
        <f t="shared" si="24"/>
        <v>4.8712954697829041</v>
      </c>
      <c r="V49" s="9"/>
      <c r="W49" s="9"/>
    </row>
    <row r="50" spans="1:23" x14ac:dyDescent="0.2">
      <c r="A50" s="26" t="s">
        <v>49</v>
      </c>
      <c r="B50" s="44">
        <f t="shared" si="24"/>
        <v>1.9948352055301815</v>
      </c>
      <c r="C50" s="45">
        <f t="shared" si="24"/>
        <v>2.3035465834962512</v>
      </c>
      <c r="D50" s="45">
        <f t="shared" si="24"/>
        <v>2.4367154295720814</v>
      </c>
      <c r="E50" s="46">
        <f t="shared" si="24"/>
        <v>3.1829628395267457</v>
      </c>
      <c r="F50" s="45">
        <f t="shared" si="24"/>
        <v>1.8360482897936501</v>
      </c>
      <c r="G50" s="45">
        <f t="shared" si="24"/>
        <v>1.5662635900253123</v>
      </c>
      <c r="H50" s="45">
        <f t="shared" si="24"/>
        <v>1.6406586716236455</v>
      </c>
      <c r="I50" s="46">
        <f t="shared" si="24"/>
        <v>1.9603106697206769</v>
      </c>
      <c r="J50" s="45">
        <f t="shared" si="24"/>
        <v>1.902821792738598</v>
      </c>
      <c r="K50" s="45">
        <f t="shared" si="24"/>
        <v>1.8567576978384484</v>
      </c>
      <c r="L50" s="45">
        <f t="shared" si="24"/>
        <v>2.0844763607330981</v>
      </c>
      <c r="M50" s="46">
        <f t="shared" si="24"/>
        <v>2.0613708177165653</v>
      </c>
      <c r="N50" s="44">
        <f t="shared" si="24"/>
        <v>1.8642347459992086</v>
      </c>
      <c r="O50" s="45">
        <f t="shared" si="24"/>
        <v>2.3346553027341206</v>
      </c>
      <c r="P50" s="45">
        <f t="shared" si="24"/>
        <v>2.272310707205162</v>
      </c>
      <c r="Q50" s="46">
        <f t="shared" si="24"/>
        <v>1.6755985515749972</v>
      </c>
      <c r="R50" s="45">
        <f t="shared" si="24"/>
        <v>1.582816378700141</v>
      </c>
      <c r="S50" s="45">
        <f t="shared" si="24"/>
        <v>1.932314305351198</v>
      </c>
      <c r="T50" s="45">
        <f t="shared" si="24"/>
        <v>1.8620057478505561</v>
      </c>
      <c r="U50" s="46">
        <f t="shared" si="24"/>
        <v>3.0419962842436217</v>
      </c>
      <c r="V50" s="9"/>
      <c r="W50" s="9"/>
    </row>
    <row r="51" spans="1:23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 spans="1:23" x14ac:dyDescent="0.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 spans="1:23" x14ac:dyDescent="0.2">
      <c r="A53" s="15" t="s">
        <v>39</v>
      </c>
      <c r="B53" s="47" t="s">
        <v>52</v>
      </c>
      <c r="C53" s="48">
        <v>3.5999999999999999E-3</v>
      </c>
      <c r="D53" s="49" t="s">
        <v>53</v>
      </c>
      <c r="E53" s="48">
        <v>1.2999999999999999E-3</v>
      </c>
      <c r="F53" s="50"/>
      <c r="G53" s="50"/>
      <c r="H53" s="51"/>
      <c r="I53" s="51"/>
      <c r="J53" s="51"/>
      <c r="K53" s="50"/>
      <c r="L53" s="50"/>
      <c r="M53" s="50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 spans="1:23" x14ac:dyDescent="0.2">
      <c r="A54" s="20" t="s">
        <v>40</v>
      </c>
      <c r="B54" s="52" t="s">
        <v>52</v>
      </c>
      <c r="C54" s="53">
        <v>4.7999999999999996E-3</v>
      </c>
      <c r="D54" s="54" t="s">
        <v>53</v>
      </c>
      <c r="E54" s="53">
        <v>1.6000000000000001E-3</v>
      </c>
      <c r="F54" s="50"/>
      <c r="G54" s="50"/>
      <c r="H54" s="51"/>
      <c r="I54" s="51"/>
      <c r="J54" s="51"/>
      <c r="K54" s="50"/>
      <c r="L54" s="50"/>
      <c r="M54" s="50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 spans="1:23" x14ac:dyDescent="0.2">
      <c r="A55" s="20" t="s">
        <v>41</v>
      </c>
      <c r="B55" s="52" t="s">
        <v>52</v>
      </c>
      <c r="C55" s="53">
        <v>2.7000000000000001E-3</v>
      </c>
      <c r="D55" s="54" t="s">
        <v>53</v>
      </c>
      <c r="E55" s="53">
        <v>1.1999999999999999E-3</v>
      </c>
      <c r="F55" s="50"/>
      <c r="G55" s="50"/>
      <c r="H55" s="51"/>
      <c r="I55" s="51"/>
      <c r="J55" s="51"/>
      <c r="K55" s="50"/>
      <c r="L55" s="50"/>
      <c r="M55" s="50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 spans="1:23" x14ac:dyDescent="0.2">
      <c r="A56" s="20" t="s">
        <v>42</v>
      </c>
      <c r="B56" s="52" t="s">
        <v>52</v>
      </c>
      <c r="C56" s="53">
        <v>2.7000000000000001E-3</v>
      </c>
      <c r="D56" s="54" t="s">
        <v>53</v>
      </c>
      <c r="E56" s="53">
        <v>-5.0000000000000001E-4</v>
      </c>
      <c r="F56" s="50"/>
      <c r="G56" s="50"/>
      <c r="H56" s="51"/>
      <c r="I56" s="51"/>
      <c r="J56" s="51"/>
      <c r="K56" s="50"/>
      <c r="L56" s="50"/>
      <c r="M56" s="50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 spans="1:23" x14ac:dyDescent="0.2">
      <c r="A57" s="20" t="s">
        <v>43</v>
      </c>
      <c r="B57" s="52" t="s">
        <v>52</v>
      </c>
      <c r="C57" s="53">
        <v>3.5999999999999999E-3</v>
      </c>
      <c r="D57" s="54" t="s">
        <v>53</v>
      </c>
      <c r="E57" s="53">
        <v>2.5999999999999999E-3</v>
      </c>
      <c r="F57" s="50"/>
      <c r="G57" s="50"/>
      <c r="H57" s="51"/>
      <c r="I57" s="51"/>
      <c r="J57" s="51"/>
      <c r="K57" s="50"/>
      <c r="L57" s="50"/>
      <c r="M57" s="50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 spans="1:23" x14ac:dyDescent="0.2">
      <c r="A58" s="20" t="s">
        <v>44</v>
      </c>
      <c r="B58" s="52" t="s">
        <v>52</v>
      </c>
      <c r="C58" s="53">
        <v>2.7000000000000001E-3</v>
      </c>
      <c r="D58" s="54" t="s">
        <v>53</v>
      </c>
      <c r="E58" s="53">
        <v>0</v>
      </c>
      <c r="F58" s="50"/>
      <c r="G58" s="50"/>
      <c r="H58" s="51"/>
      <c r="I58" s="51"/>
      <c r="J58" s="51"/>
      <c r="K58" s="50"/>
      <c r="L58" s="50"/>
      <c r="M58" s="50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 spans="1:23" x14ac:dyDescent="0.2">
      <c r="A59" s="20" t="s">
        <v>45</v>
      </c>
      <c r="B59" s="52" t="s">
        <v>52</v>
      </c>
      <c r="C59" s="53">
        <v>2.5999999999999999E-3</v>
      </c>
      <c r="D59" s="54" t="s">
        <v>53</v>
      </c>
      <c r="E59" s="53">
        <v>-4.1999999999999997E-3</v>
      </c>
      <c r="F59" s="50"/>
      <c r="G59" s="50"/>
      <c r="H59" s="51"/>
      <c r="I59" s="51"/>
      <c r="J59" s="51"/>
      <c r="K59" s="50"/>
      <c r="L59" s="50"/>
      <c r="M59" s="50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 spans="1:23" x14ac:dyDescent="0.2">
      <c r="A60" s="20" t="s">
        <v>47</v>
      </c>
      <c r="B60" s="52" t="s">
        <v>52</v>
      </c>
      <c r="C60" s="53">
        <v>2.5000000000000001E-3</v>
      </c>
      <c r="D60" s="54" t="s">
        <v>53</v>
      </c>
      <c r="E60" s="53">
        <v>-8.9999999999999998E-4</v>
      </c>
      <c r="F60" s="50"/>
      <c r="G60" s="50"/>
      <c r="H60" s="51"/>
      <c r="I60" s="51"/>
      <c r="J60" s="51"/>
      <c r="K60" s="50"/>
      <c r="L60" s="50"/>
      <c r="M60" s="50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 spans="1:23" x14ac:dyDescent="0.2">
      <c r="A61" s="20" t="s">
        <v>48</v>
      </c>
      <c r="B61" s="52" t="s">
        <v>52</v>
      </c>
      <c r="C61" s="53">
        <v>2.3E-3</v>
      </c>
      <c r="D61" s="54" t="s">
        <v>53</v>
      </c>
      <c r="E61" s="53">
        <v>-5.0000000000000001E-4</v>
      </c>
      <c r="F61" s="50"/>
      <c r="G61" s="50"/>
      <c r="H61" s="51"/>
      <c r="I61" s="51"/>
      <c r="J61" s="51"/>
      <c r="K61" s="50"/>
      <c r="L61" s="50"/>
      <c r="M61" s="50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 spans="1:23" x14ac:dyDescent="0.2">
      <c r="A62" s="26" t="s">
        <v>49</v>
      </c>
      <c r="B62" s="55" t="s">
        <v>52</v>
      </c>
      <c r="C62" s="56">
        <v>2.5000000000000001E-3</v>
      </c>
      <c r="D62" s="57" t="s">
        <v>53</v>
      </c>
      <c r="E62" s="56">
        <v>-4.0000000000000002E-4</v>
      </c>
      <c r="F62" s="58"/>
      <c r="G62" s="50"/>
      <c r="H62" s="51"/>
      <c r="I62" s="51"/>
      <c r="J62" s="51"/>
      <c r="K62" s="50"/>
      <c r="L62" s="50"/>
      <c r="M62" s="50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 spans="1:23" x14ac:dyDescent="0.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 spans="1:23" hidden="1" x14ac:dyDescent="0.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 spans="1:23" hidden="1" x14ac:dyDescent="0.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 spans="1:23" hidden="1" x14ac:dyDescent="0.2">
      <c r="A66" s="9"/>
      <c r="B66" s="7" t="s">
        <v>13</v>
      </c>
      <c r="C66" s="7">
        <v>2.5100000000000001E-2</v>
      </c>
      <c r="D66" s="12" t="s">
        <v>14</v>
      </c>
      <c r="E66" s="21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 spans="1:23" hidden="1" x14ac:dyDescent="0.2">
      <c r="A67" s="9"/>
      <c r="B67" s="7" t="s">
        <v>15</v>
      </c>
      <c r="C67" s="7">
        <v>1.1662213962132653</v>
      </c>
      <c r="D67" s="12" t="s">
        <v>16</v>
      </c>
      <c r="E67" s="21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 spans="1:23" hidden="1" x14ac:dyDescent="0.2">
      <c r="A68" s="9"/>
      <c r="B68" s="7" t="s">
        <v>17</v>
      </c>
      <c r="C68" s="7">
        <v>0.23324427924265306</v>
      </c>
      <c r="D68" s="12" t="s">
        <v>16</v>
      </c>
      <c r="E68" s="21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 spans="1:23" hidden="1" x14ac:dyDescent="0.2">
      <c r="A69" s="9"/>
      <c r="B69" s="7" t="s">
        <v>17</v>
      </c>
      <c r="C69" s="7">
        <v>20.080000000000002</v>
      </c>
      <c r="D69" s="12" t="s">
        <v>18</v>
      </c>
      <c r="E69" s="12">
        <f>C69/1000</f>
        <v>2.0080000000000001E-2</v>
      </c>
      <c r="F69" s="12" t="s">
        <v>54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 spans="1:23" hidden="1" x14ac:dyDescent="0.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 spans="1:23" x14ac:dyDescent="0.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 spans="1:23" ht="16" x14ac:dyDescent="0.2">
      <c r="A72" s="9"/>
      <c r="B72" s="124" t="s">
        <v>55</v>
      </c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6"/>
      <c r="V72" s="9"/>
      <c r="W72" s="9"/>
    </row>
    <row r="73" spans="1:23" ht="16" x14ac:dyDescent="0.2">
      <c r="A73" s="9"/>
      <c r="B73" s="13" t="str">
        <f t="shared" ref="B73:U73" si="25">B10</f>
        <v>A_0h</v>
      </c>
      <c r="C73" s="13" t="str">
        <f t="shared" si="25"/>
        <v>A_12h</v>
      </c>
      <c r="D73" s="13" t="str">
        <f t="shared" si="25"/>
        <v>A_24h</v>
      </c>
      <c r="E73" s="13" t="str">
        <f t="shared" si="25"/>
        <v>A_48h</v>
      </c>
      <c r="F73" s="13" t="str">
        <f t="shared" si="25"/>
        <v>B_0h</v>
      </c>
      <c r="G73" s="30" t="str">
        <f t="shared" si="25"/>
        <v>B_12h</v>
      </c>
      <c r="H73" s="14" t="str">
        <f t="shared" si="25"/>
        <v>B_24h</v>
      </c>
      <c r="I73" s="13" t="str">
        <f t="shared" si="25"/>
        <v>B_48h</v>
      </c>
      <c r="J73" s="13" t="str">
        <f t="shared" si="25"/>
        <v>C_0h</v>
      </c>
      <c r="K73" s="13" t="str">
        <f t="shared" si="25"/>
        <v>C_12h</v>
      </c>
      <c r="L73" s="13" t="str">
        <f t="shared" si="25"/>
        <v>C_24h</v>
      </c>
      <c r="M73" s="13" t="str">
        <f t="shared" si="25"/>
        <v>C_48h</v>
      </c>
      <c r="N73" s="13" t="str">
        <f t="shared" si="25"/>
        <v>D_0h</v>
      </c>
      <c r="O73" s="13" t="str">
        <f t="shared" si="25"/>
        <v>D_12h</v>
      </c>
      <c r="P73" s="13" t="str">
        <f t="shared" si="25"/>
        <v>D_24h</v>
      </c>
      <c r="Q73" s="13" t="str">
        <f t="shared" si="25"/>
        <v>D_48h</v>
      </c>
      <c r="R73" s="13" t="str">
        <f t="shared" si="25"/>
        <v>E_0h</v>
      </c>
      <c r="S73" s="30" t="str">
        <f t="shared" si="25"/>
        <v>E_12h</v>
      </c>
      <c r="T73" s="14" t="str">
        <f t="shared" si="25"/>
        <v>E_24h</v>
      </c>
      <c r="U73" s="13" t="str">
        <f t="shared" si="25"/>
        <v>E_48h</v>
      </c>
      <c r="V73" s="9"/>
      <c r="W73" s="9"/>
    </row>
    <row r="74" spans="1:23" x14ac:dyDescent="0.2">
      <c r="A74" s="15" t="s">
        <v>39</v>
      </c>
      <c r="B74" s="59">
        <f>B41*$E$69</f>
        <v>8.4013478994362858E-2</v>
      </c>
      <c r="C74" s="31">
        <f t="shared" ref="C74:U74" si="26">C41*$E$69</f>
        <v>0.11889783979994981</v>
      </c>
      <c r="D74" s="31">
        <f t="shared" si="26"/>
        <v>0.10475164615552955</v>
      </c>
      <c r="E74" s="60">
        <f t="shared" si="26"/>
        <v>0.14467498374609525</v>
      </c>
      <c r="F74" s="31">
        <f t="shared" si="26"/>
        <v>8.904081881983332E-2</v>
      </c>
      <c r="G74" s="19">
        <f t="shared" si="26"/>
        <v>7.4129588286476811E-2</v>
      </c>
      <c r="H74" s="19">
        <f t="shared" si="26"/>
        <v>7.6657694092694267E-2</v>
      </c>
      <c r="I74" s="60">
        <f t="shared" si="26"/>
        <v>5.045814968645243E-2</v>
      </c>
      <c r="J74" s="59">
        <f t="shared" si="26"/>
        <v>6.7377809208633163E-2</v>
      </c>
      <c r="K74" s="31">
        <f t="shared" si="26"/>
        <v>8.1824908335065366E-2</v>
      </c>
      <c r="L74" s="31">
        <f t="shared" si="26"/>
        <v>7.0176738258226373E-2</v>
      </c>
      <c r="M74" s="60">
        <f t="shared" si="26"/>
        <v>3.3831816256260659E-2</v>
      </c>
      <c r="N74" s="59">
        <f t="shared" si="26"/>
        <v>8.06219229540103E-2</v>
      </c>
      <c r="O74" s="31">
        <f t="shared" si="26"/>
        <v>9.4987976733477572E-2</v>
      </c>
      <c r="P74" s="31">
        <f t="shared" si="26"/>
        <v>3.0313128989891639E-2</v>
      </c>
      <c r="Q74" s="60">
        <f t="shared" si="26"/>
        <v>7.5528544952072766E-3</v>
      </c>
      <c r="R74" s="31">
        <f t="shared" si="26"/>
        <v>6.6645879320255813E-2</v>
      </c>
      <c r="S74" s="31">
        <f t="shared" si="26"/>
        <v>8.9976575761848629E-2</v>
      </c>
      <c r="T74" s="31">
        <f t="shared" si="26"/>
        <v>5.4256931346451674E-2</v>
      </c>
      <c r="U74" s="60">
        <f t="shared" si="26"/>
        <v>5.3556594732971044E-2</v>
      </c>
      <c r="V74" s="9"/>
      <c r="W74" s="9"/>
    </row>
    <row r="75" spans="1:23" x14ac:dyDescent="0.2">
      <c r="A75" s="20" t="s">
        <v>40</v>
      </c>
      <c r="B75" s="34">
        <f t="shared" ref="B75:U83" si="27">B42*$E$69</f>
        <v>7.2765434249739899E-2</v>
      </c>
      <c r="C75" s="33">
        <f t="shared" si="27"/>
        <v>0.12465770790155294</v>
      </c>
      <c r="D75" s="33">
        <f t="shared" si="27"/>
        <v>0.17287730538517238</v>
      </c>
      <c r="E75" s="32">
        <f t="shared" si="27"/>
        <v>5.500811959911444E-2</v>
      </c>
      <c r="F75" s="33">
        <f t="shared" si="27"/>
        <v>6.119572468505486E-2</v>
      </c>
      <c r="G75" s="9">
        <f t="shared" si="27"/>
        <v>7.6730488440478459E-2</v>
      </c>
      <c r="H75" s="9">
        <f t="shared" si="27"/>
        <v>8.0791753671014765E-2</v>
      </c>
      <c r="I75" s="32">
        <f t="shared" si="27"/>
        <v>4.8705016088540984E-2</v>
      </c>
      <c r="J75" s="34">
        <f t="shared" si="27"/>
        <v>4.8823900394983771E-2</v>
      </c>
      <c r="K75" s="33">
        <f t="shared" si="27"/>
        <v>9.2519920289274735E-2</v>
      </c>
      <c r="L75" s="33">
        <f t="shared" si="27"/>
        <v>8.0047965240871585E-2</v>
      </c>
      <c r="M75" s="32">
        <f t="shared" si="27"/>
        <v>4.3777117811522943E-2</v>
      </c>
      <c r="N75" s="34">
        <f t="shared" si="27"/>
        <v>5.6842182937900498E-2</v>
      </c>
      <c r="O75" s="33">
        <f t="shared" si="27"/>
        <v>0.12415031974092322</v>
      </c>
      <c r="P75" s="33">
        <f t="shared" si="27"/>
        <v>0.10959448726574302</v>
      </c>
      <c r="Q75" s="32">
        <f t="shared" si="27"/>
        <v>5.1992596183429066E-2</v>
      </c>
      <c r="R75" s="33">
        <f t="shared" si="27"/>
        <v>4.975131378472266E-2</v>
      </c>
      <c r="S75" s="33">
        <f t="shared" si="27"/>
        <v>6.7709732945927137E-2</v>
      </c>
      <c r="T75" s="33">
        <f t="shared" si="27"/>
        <v>6.9532600417389151E-2</v>
      </c>
      <c r="U75" s="32">
        <f t="shared" si="27"/>
        <v>5.9246165650719509E-2</v>
      </c>
      <c r="V75" s="9"/>
      <c r="W75" s="9"/>
    </row>
    <row r="76" spans="1:23" x14ac:dyDescent="0.2">
      <c r="A76" s="20" t="s">
        <v>41</v>
      </c>
      <c r="B76" s="34">
        <f t="shared" si="27"/>
        <v>8.4144866823549408E-5</v>
      </c>
      <c r="C76" s="33">
        <f t="shared" si="27"/>
        <v>0.153411078598823</v>
      </c>
      <c r="D76" s="33">
        <f t="shared" si="27"/>
        <v>0.38353054498389377</v>
      </c>
      <c r="E76" s="32">
        <f t="shared" si="27"/>
        <v>0.93537371256466062</v>
      </c>
      <c r="F76" s="33">
        <f t="shared" si="27"/>
        <v>2.457607044034911E-2</v>
      </c>
      <c r="G76" s="9">
        <f t="shared" si="27"/>
        <v>0.1544396962248997</v>
      </c>
      <c r="H76" s="9">
        <f t="shared" si="27"/>
        <v>0.43712841174951689</v>
      </c>
      <c r="I76" s="32">
        <f t="shared" si="27"/>
        <v>0.59016336859776053</v>
      </c>
      <c r="J76" s="34">
        <f t="shared" si="27"/>
        <v>9.4323668115309206E-2</v>
      </c>
      <c r="K76" s="33">
        <f t="shared" si="27"/>
        <v>0.30720816954487962</v>
      </c>
      <c r="L76" s="33">
        <f t="shared" si="27"/>
        <v>0.56065274777592233</v>
      </c>
      <c r="M76" s="32">
        <f t="shared" si="27"/>
        <v>0.81021589029042562</v>
      </c>
      <c r="N76" s="34">
        <f t="shared" si="27"/>
        <v>1.5186896171979323E-2</v>
      </c>
      <c r="O76" s="33">
        <f t="shared" si="27"/>
        <v>0.29184406900606136</v>
      </c>
      <c r="P76" s="33">
        <f t="shared" si="27"/>
        <v>0.71858544132773083</v>
      </c>
      <c r="Q76" s="32">
        <f t="shared" si="27"/>
        <v>1.0095293238314995</v>
      </c>
      <c r="R76" s="33">
        <f t="shared" si="27"/>
        <v>9.9002877611031512E-4</v>
      </c>
      <c r="S76" s="33">
        <f t="shared" si="27"/>
        <v>0.18068365987589868</v>
      </c>
      <c r="T76" s="33">
        <f t="shared" si="27"/>
        <v>0.37694176747849001</v>
      </c>
      <c r="U76" s="32">
        <f t="shared" si="27"/>
        <v>0.85880611581693966</v>
      </c>
      <c r="V76" s="9"/>
      <c r="W76" s="9"/>
    </row>
    <row r="77" spans="1:23" x14ac:dyDescent="0.2">
      <c r="A77" s="20" t="s">
        <v>42</v>
      </c>
      <c r="B77" s="34">
        <f t="shared" si="27"/>
        <v>0.31408009253544372</v>
      </c>
      <c r="C77" s="33">
        <f t="shared" si="27"/>
        <v>0.23656353509939942</v>
      </c>
      <c r="D77" s="33">
        <f t="shared" si="27"/>
        <v>0.26273881154122175</v>
      </c>
      <c r="E77" s="32">
        <f t="shared" si="27"/>
        <v>0.25497624857938139</v>
      </c>
      <c r="F77" s="33">
        <f t="shared" si="27"/>
        <v>0.21964004504456919</v>
      </c>
      <c r="G77" s="9">
        <f t="shared" si="27"/>
        <v>0.18563151304615053</v>
      </c>
      <c r="H77" s="9">
        <f t="shared" si="27"/>
        <v>0.22094359670710609</v>
      </c>
      <c r="I77" s="32">
        <f t="shared" si="27"/>
        <v>0.20764209044904516</v>
      </c>
      <c r="J77" s="34">
        <f t="shared" si="27"/>
        <v>0.1892293190783115</v>
      </c>
      <c r="K77" s="33">
        <f t="shared" si="27"/>
        <v>0.19070228540366099</v>
      </c>
      <c r="L77" s="33">
        <f t="shared" si="27"/>
        <v>0.21153037836914698</v>
      </c>
      <c r="M77" s="32">
        <f t="shared" si="27"/>
        <v>0.15086553220905455</v>
      </c>
      <c r="N77" s="34">
        <f t="shared" si="27"/>
        <v>0.22019141482094542</v>
      </c>
      <c r="O77" s="33">
        <f t="shared" si="27"/>
        <v>0.24457369016004296</v>
      </c>
      <c r="P77" s="33">
        <f t="shared" si="27"/>
        <v>0.25271657716038443</v>
      </c>
      <c r="Q77" s="32">
        <f t="shared" si="27"/>
        <v>0.16692957413825801</v>
      </c>
      <c r="R77" s="33">
        <f t="shared" si="27"/>
        <v>0.19128476732667368</v>
      </c>
      <c r="S77" s="33">
        <f t="shared" si="27"/>
        <v>0.22302365933512255</v>
      </c>
      <c r="T77" s="33">
        <f t="shared" si="27"/>
        <v>0.25277097648794467</v>
      </c>
      <c r="U77" s="32">
        <f t="shared" si="27"/>
        <v>0.30975572579164384</v>
      </c>
      <c r="V77" s="9"/>
      <c r="W77" s="9"/>
    </row>
    <row r="78" spans="1:23" x14ac:dyDescent="0.2">
      <c r="A78" s="20" t="s">
        <v>43</v>
      </c>
      <c r="B78" s="34">
        <f t="shared" si="27"/>
        <v>2.0678686268401119E-2</v>
      </c>
      <c r="C78" s="33">
        <f t="shared" si="27"/>
        <v>8.7182189778515912E-2</v>
      </c>
      <c r="D78" s="33">
        <f t="shared" si="27"/>
        <v>7.4009973579535648E-2</v>
      </c>
      <c r="E78" s="32">
        <f t="shared" si="27"/>
        <v>0.19191977199567273</v>
      </c>
      <c r="F78" s="33">
        <f t="shared" si="27"/>
        <v>2.5540507752240642E-2</v>
      </c>
      <c r="G78" s="9">
        <f t="shared" si="27"/>
        <v>6.0172893928387795E-2</v>
      </c>
      <c r="H78" s="9">
        <f t="shared" si="27"/>
        <v>5.9635064655665614E-2</v>
      </c>
      <c r="I78" s="32">
        <f t="shared" si="27"/>
        <v>0.1145392229928571</v>
      </c>
      <c r="J78" s="34">
        <f t="shared" si="27"/>
        <v>5.8254888126556333E-2</v>
      </c>
      <c r="K78" s="33">
        <f t="shared" si="27"/>
        <v>7.8390257000907113E-2</v>
      </c>
      <c r="L78" s="33">
        <f t="shared" si="27"/>
        <v>8.9780890288054346E-2</v>
      </c>
      <c r="M78" s="32">
        <f t="shared" si="27"/>
        <v>8.6771283796455767E-2</v>
      </c>
      <c r="N78" s="34">
        <f t="shared" si="27"/>
        <v>2.7955074732255669E-2</v>
      </c>
      <c r="O78" s="33">
        <f t="shared" si="27"/>
        <v>9.8279609965740242E-2</v>
      </c>
      <c r="P78" s="33">
        <f t="shared" si="27"/>
        <v>7.5071507576286042E-2</v>
      </c>
      <c r="Q78" s="32">
        <f t="shared" si="27"/>
        <v>0.14633552058654839</v>
      </c>
      <c r="R78" s="33">
        <f t="shared" si="27"/>
        <v>3.3027257671031929E-2</v>
      </c>
      <c r="S78" s="33">
        <f t="shared" si="27"/>
        <v>5.3469089011347198E-2</v>
      </c>
      <c r="T78" s="33">
        <f t="shared" si="27"/>
        <v>7.2996194485610039E-2</v>
      </c>
      <c r="U78" s="32">
        <f t="shared" si="27"/>
        <v>0.12030930093783057</v>
      </c>
      <c r="V78" s="9"/>
      <c r="W78" s="9"/>
    </row>
    <row r="79" spans="1:23" x14ac:dyDescent="0.2">
      <c r="A79" s="20" t="s">
        <v>44</v>
      </c>
      <c r="B79" s="34">
        <f t="shared" si="27"/>
        <v>4.470064901517809E-2</v>
      </c>
      <c r="C79" s="33">
        <f t="shared" si="27"/>
        <v>1.7252512959820315E-2</v>
      </c>
      <c r="D79" s="33">
        <f t="shared" si="27"/>
        <v>9.9304886432108927E-2</v>
      </c>
      <c r="E79" s="32">
        <f t="shared" si="27"/>
        <v>0.3392989916142724</v>
      </c>
      <c r="F79" s="33">
        <f t="shared" si="27"/>
        <v>3.1988698272428749E-2</v>
      </c>
      <c r="G79" s="9">
        <f t="shared" si="27"/>
        <v>2.8650373030458167E-2</v>
      </c>
      <c r="H79" s="9">
        <f t="shared" si="27"/>
        <v>0.16609111754518488</v>
      </c>
      <c r="I79" s="32">
        <f t="shared" si="27"/>
        <v>0.2791355080162653</v>
      </c>
      <c r="J79" s="34">
        <f t="shared" si="27"/>
        <v>5.9585032648445474E-2</v>
      </c>
      <c r="K79" s="33">
        <f t="shared" si="27"/>
        <v>8.1311585042435353E-2</v>
      </c>
      <c r="L79" s="33">
        <f t="shared" si="27"/>
        <v>0.24995088991435174</v>
      </c>
      <c r="M79" s="32">
        <f t="shared" si="27"/>
        <v>0.3520607924363035</v>
      </c>
      <c r="N79" s="34">
        <f t="shared" si="27"/>
        <v>2.2000353626761653E-2</v>
      </c>
      <c r="O79" s="33">
        <f t="shared" si="27"/>
        <v>3.0602398473224962E-2</v>
      </c>
      <c r="P79" s="33">
        <f t="shared" si="27"/>
        <v>0.1855444188187825</v>
      </c>
      <c r="Q79" s="32">
        <f t="shared" si="27"/>
        <v>0.35909716716348561</v>
      </c>
      <c r="R79" s="33">
        <f t="shared" si="27"/>
        <v>1.8713236147161999E-2</v>
      </c>
      <c r="S79" s="33">
        <f t="shared" si="27"/>
        <v>5.5878801157031505E-2</v>
      </c>
      <c r="T79" s="33">
        <f t="shared" si="27"/>
        <v>0.23195143592933251</v>
      </c>
      <c r="U79" s="32">
        <f t="shared" si="27"/>
        <v>0.632446085856191</v>
      </c>
      <c r="V79" s="9"/>
      <c r="W79" s="9"/>
    </row>
    <row r="80" spans="1:23" x14ac:dyDescent="0.2">
      <c r="A80" s="20" t="s">
        <v>45</v>
      </c>
      <c r="B80" s="34">
        <f t="shared" si="27"/>
        <v>6.4830346219636431E-2</v>
      </c>
      <c r="C80" s="33">
        <f t="shared" si="27"/>
        <v>6.7315672919824265E-2</v>
      </c>
      <c r="D80" s="33">
        <f t="shared" si="27"/>
        <v>9.963106728225643E-2</v>
      </c>
      <c r="E80" s="32">
        <f t="shared" si="27"/>
        <v>0.24465524419922688</v>
      </c>
      <c r="F80" s="33">
        <f t="shared" si="27"/>
        <v>7.8382197348315197E-2</v>
      </c>
      <c r="G80" s="9">
        <f t="shared" si="27"/>
        <v>0.19850265912598239</v>
      </c>
      <c r="H80" s="9">
        <f t="shared" si="27"/>
        <v>0.13736831784085518</v>
      </c>
      <c r="I80" s="32">
        <f t="shared" si="27"/>
        <v>0.2909188719864001</v>
      </c>
      <c r="J80" s="34">
        <f t="shared" si="27"/>
        <v>6.4629986747438861E-2</v>
      </c>
      <c r="K80" s="33">
        <f t="shared" si="27"/>
        <v>0.22667409384538503</v>
      </c>
      <c r="L80" s="33">
        <f t="shared" si="27"/>
        <v>0.12925036706984208</v>
      </c>
      <c r="M80" s="32">
        <f t="shared" si="27"/>
        <v>0.26703268853685275</v>
      </c>
      <c r="N80" s="34">
        <f t="shared" si="27"/>
        <v>8.2598523756345257E-2</v>
      </c>
      <c r="O80" s="33">
        <f t="shared" si="27"/>
        <v>0.32804460175110423</v>
      </c>
      <c r="P80" s="33">
        <f t="shared" si="27"/>
        <v>8.7107323853325161E-2</v>
      </c>
      <c r="Q80" s="32">
        <f t="shared" si="27"/>
        <v>0.24063797690514591</v>
      </c>
      <c r="R80" s="33">
        <f t="shared" si="27"/>
        <v>5.030667860910442E-2</v>
      </c>
      <c r="S80" s="33">
        <f t="shared" si="27"/>
        <v>0.23925684949567841</v>
      </c>
      <c r="T80" s="33">
        <f t="shared" si="27"/>
        <v>0.15978473703376023</v>
      </c>
      <c r="U80" s="32">
        <f t="shared" si="27"/>
        <v>0.29702058182205737</v>
      </c>
      <c r="V80" s="9"/>
      <c r="W80" s="9"/>
    </row>
    <row r="81" spans="1:23" x14ac:dyDescent="0.2">
      <c r="A81" s="20" t="s">
        <v>47</v>
      </c>
      <c r="B81" s="34">
        <f t="shared" si="27"/>
        <v>0.84346641440386549</v>
      </c>
      <c r="C81" s="33">
        <f t="shared" si="27"/>
        <v>1.1198540121749279</v>
      </c>
      <c r="D81" s="33">
        <f t="shared" si="27"/>
        <v>1.2626305203956845</v>
      </c>
      <c r="E81" s="32">
        <f t="shared" si="27"/>
        <v>1.9234807861927776</v>
      </c>
      <c r="F81" s="33">
        <f t="shared" si="27"/>
        <v>0.90791980314920651</v>
      </c>
      <c r="G81" s="9">
        <f t="shared" si="27"/>
        <v>0.77478318502524879</v>
      </c>
      <c r="H81" s="9">
        <f t="shared" si="27"/>
        <v>1.1904898235198977</v>
      </c>
      <c r="I81" s="32">
        <f t="shared" si="27"/>
        <v>1.2230246649383925</v>
      </c>
      <c r="J81" s="34">
        <f t="shared" si="27"/>
        <v>0.8796631441525915</v>
      </c>
      <c r="K81" s="33">
        <f t="shared" si="27"/>
        <v>1.0221500397206713</v>
      </c>
      <c r="L81" s="33">
        <f t="shared" si="27"/>
        <v>1.2831838989879287</v>
      </c>
      <c r="M81" s="32">
        <f t="shared" si="27"/>
        <v>1.3630163785921734</v>
      </c>
      <c r="N81" s="34">
        <f t="shared" si="27"/>
        <v>0.91433584143509183</v>
      </c>
      <c r="O81" s="33">
        <f t="shared" si="27"/>
        <v>1.2565241058618084</v>
      </c>
      <c r="P81" s="33">
        <f t="shared" si="27"/>
        <v>1.514124920009926</v>
      </c>
      <c r="Q81" s="32">
        <f t="shared" si="27"/>
        <v>1.4488473544475013</v>
      </c>
      <c r="R81" s="33">
        <f t="shared" si="27"/>
        <v>0.78054035570980984</v>
      </c>
      <c r="S81" s="33">
        <f t="shared" si="27"/>
        <v>1.041744908604582</v>
      </c>
      <c r="T81" s="33">
        <f t="shared" si="27"/>
        <v>1.2602017767026059</v>
      </c>
      <c r="U81" s="32">
        <f t="shared" si="27"/>
        <v>2.0601337053584023</v>
      </c>
      <c r="V81" s="9"/>
      <c r="W81" s="9"/>
    </row>
    <row r="82" spans="1:23" x14ac:dyDescent="0.2">
      <c r="A82" s="20" t="s">
        <v>48</v>
      </c>
      <c r="B82" s="34">
        <f t="shared" si="27"/>
        <v>3.6149622506538193E-2</v>
      </c>
      <c r="C82" s="33">
        <f t="shared" si="27"/>
        <v>9.4036109436628837E-2</v>
      </c>
      <c r="D82" s="33">
        <f t="shared" si="27"/>
        <v>0.15359809123375792</v>
      </c>
      <c r="E82" s="32">
        <f t="shared" si="27"/>
        <v>0.15473644537504622</v>
      </c>
      <c r="F82" s="33">
        <f t="shared" si="27"/>
        <v>3.3396013596062819E-2</v>
      </c>
      <c r="G82" s="9">
        <f t="shared" si="27"/>
        <v>0.10119753779886995</v>
      </c>
      <c r="H82" s="9">
        <f t="shared" si="27"/>
        <v>0.12315643085959066</v>
      </c>
      <c r="I82" s="32">
        <f t="shared" si="27"/>
        <v>0.16140910180385035</v>
      </c>
      <c r="J82" s="34">
        <f t="shared" si="27"/>
        <v>2.7020646885577315E-2</v>
      </c>
      <c r="K82" s="33">
        <f t="shared" si="27"/>
        <v>0.20647858015771484</v>
      </c>
      <c r="L82" s="33">
        <f t="shared" si="27"/>
        <v>0.11168501727976346</v>
      </c>
      <c r="M82" s="32">
        <f t="shared" si="27"/>
        <v>0.26103953887689685</v>
      </c>
      <c r="N82" s="34">
        <f t="shared" si="27"/>
        <v>2.6499595066073672E-2</v>
      </c>
      <c r="O82" s="33">
        <f t="shared" si="27"/>
        <v>0.18023340574610655</v>
      </c>
      <c r="P82" s="33">
        <f t="shared" si="27"/>
        <v>0.18879243780959962</v>
      </c>
      <c r="Q82" s="32">
        <f t="shared" si="27"/>
        <v>0.23113834130452451</v>
      </c>
      <c r="R82" s="33">
        <f t="shared" si="27"/>
        <v>2.2230441849668891E-2</v>
      </c>
      <c r="S82" s="33">
        <f t="shared" si="27"/>
        <v>0.16215565927115061</v>
      </c>
      <c r="T82" s="33">
        <f t="shared" si="27"/>
        <v>0.18114374071491535</v>
      </c>
      <c r="U82" s="32">
        <f t="shared" si="27"/>
        <v>9.7815613033240711E-2</v>
      </c>
      <c r="V82" s="9"/>
      <c r="W82" s="9"/>
    </row>
    <row r="83" spans="1:23" x14ac:dyDescent="0.2">
      <c r="A83" s="26" t="s">
        <v>49</v>
      </c>
      <c r="B83" s="37">
        <f t="shared" si="27"/>
        <v>4.0056290927046045E-2</v>
      </c>
      <c r="C83" s="61">
        <f t="shared" si="27"/>
        <v>4.6255215396604724E-2</v>
      </c>
      <c r="D83" s="61">
        <f t="shared" si="27"/>
        <v>4.8929245825807398E-2</v>
      </c>
      <c r="E83" s="62">
        <f t="shared" si="27"/>
        <v>6.3913893817697062E-2</v>
      </c>
      <c r="F83" s="61">
        <f t="shared" si="27"/>
        <v>3.6867849659056498E-2</v>
      </c>
      <c r="G83" s="28">
        <f t="shared" si="27"/>
        <v>3.1450572887708271E-2</v>
      </c>
      <c r="H83" s="28">
        <f t="shared" si="27"/>
        <v>3.2944426126202804E-2</v>
      </c>
      <c r="I83" s="62">
        <f t="shared" si="27"/>
        <v>3.9363038247991193E-2</v>
      </c>
      <c r="J83" s="37">
        <f t="shared" si="27"/>
        <v>3.820866159819105E-2</v>
      </c>
      <c r="K83" s="61">
        <f t="shared" si="27"/>
        <v>3.7283694572596046E-2</v>
      </c>
      <c r="L83" s="61">
        <f t="shared" si="27"/>
        <v>4.1856285323520613E-2</v>
      </c>
      <c r="M83" s="62">
        <f t="shared" si="27"/>
        <v>4.1392326019748633E-2</v>
      </c>
      <c r="N83" s="37">
        <f t="shared" si="27"/>
        <v>3.7433833699664111E-2</v>
      </c>
      <c r="O83" s="61">
        <f t="shared" si="27"/>
        <v>4.6879878478901141E-2</v>
      </c>
      <c r="P83" s="61">
        <f t="shared" si="27"/>
        <v>4.5627999000679653E-2</v>
      </c>
      <c r="Q83" s="62">
        <f t="shared" si="27"/>
        <v>3.3646018915625943E-2</v>
      </c>
      <c r="R83" s="61">
        <f t="shared" si="27"/>
        <v>3.1782952884298832E-2</v>
      </c>
      <c r="S83" s="61">
        <f t="shared" si="27"/>
        <v>3.8800871251452054E-2</v>
      </c>
      <c r="T83" s="61">
        <f t="shared" si="27"/>
        <v>3.7389075416839168E-2</v>
      </c>
      <c r="U83" s="62">
        <f t="shared" si="27"/>
        <v>6.1083285387611923E-2</v>
      </c>
      <c r="V83" s="9"/>
      <c r="W83" s="9"/>
    </row>
    <row r="84" spans="1:23" x14ac:dyDescent="0.2">
      <c r="A84" s="9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9"/>
      <c r="W84" s="9"/>
    </row>
    <row r="85" spans="1:23" x14ac:dyDescent="0.2">
      <c r="A85" s="9"/>
      <c r="B85" s="9"/>
      <c r="C85" s="9"/>
      <c r="D85" s="9"/>
      <c r="E85" s="33"/>
      <c r="F85" s="9"/>
      <c r="G85" s="9"/>
      <c r="H85" s="9"/>
      <c r="I85" s="33"/>
      <c r="J85" s="9"/>
      <c r="K85" s="9"/>
      <c r="L85" s="9"/>
      <c r="M85" s="33"/>
      <c r="N85" s="9"/>
      <c r="O85" s="9"/>
      <c r="P85" s="9"/>
      <c r="Q85" s="33"/>
      <c r="R85" s="9"/>
      <c r="S85" s="9"/>
      <c r="T85" s="9"/>
      <c r="U85" s="33"/>
      <c r="V85" s="9"/>
      <c r="W85" s="9"/>
    </row>
    <row r="86" spans="1:23" ht="16" x14ac:dyDescent="0.2">
      <c r="A86" s="9"/>
      <c r="B86" s="127" t="s">
        <v>56</v>
      </c>
      <c r="C86" s="127"/>
      <c r="D86" s="127" t="s">
        <v>6</v>
      </c>
      <c r="E86" s="127"/>
      <c r="F86" s="127" t="s">
        <v>7</v>
      </c>
      <c r="G86" s="127"/>
      <c r="H86" s="127" t="s">
        <v>8</v>
      </c>
      <c r="I86" s="127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 spans="1:23" ht="16" x14ac:dyDescent="0.2">
      <c r="A87" s="9"/>
      <c r="B87" s="13" t="s">
        <v>57</v>
      </c>
      <c r="C87" s="13" t="s">
        <v>58</v>
      </c>
      <c r="D87" s="13" t="s">
        <v>57</v>
      </c>
      <c r="E87" s="13" t="s">
        <v>58</v>
      </c>
      <c r="F87" s="13" t="s">
        <v>57</v>
      </c>
      <c r="G87" s="13" t="s">
        <v>58</v>
      </c>
      <c r="H87" s="13" t="s">
        <v>57</v>
      </c>
      <c r="I87" s="13" t="s">
        <v>58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 spans="1:23" x14ac:dyDescent="0.2">
      <c r="A88" s="15" t="s">
        <v>39</v>
      </c>
      <c r="B88" s="63">
        <f t="shared" ref="B88:B97" si="28">AVERAGE(B74,F74,J74,N74,R74)</f>
        <v>7.7539981859419085E-2</v>
      </c>
      <c r="C88" s="63">
        <f t="shared" ref="C88:C97" si="29">STDEVA(B74,F74,J74,N74,R74)</f>
        <v>1.0070067030249569E-2</v>
      </c>
      <c r="D88" s="63">
        <f t="shared" ref="D88:D97" si="30">AVERAGE(C74,G74,K74,O74,S74)</f>
        <v>9.1963377783363637E-2</v>
      </c>
      <c r="E88" s="63">
        <f t="shared" ref="E88:E97" si="31">STDEVA(C74,G74,K74,O74,S74)</f>
        <v>1.7024933449047597E-2</v>
      </c>
      <c r="F88" s="63">
        <f t="shared" ref="F88:F97" si="32">AVERAGE(D74,H74,L74,P74,T74)</f>
        <v>6.7231227768558693E-2</v>
      </c>
      <c r="G88" s="63">
        <f t="shared" ref="G88:G97" si="33">STDEVA(D74,H74,L74,P74,T74)</f>
        <v>2.7552651779902529E-2</v>
      </c>
      <c r="H88" s="63">
        <f t="shared" ref="H88:H97" si="34">AVERAGE(E74,I74,M74,Q74,U74)</f>
        <v>5.8014879783397331E-2</v>
      </c>
      <c r="I88" s="63">
        <f t="shared" ref="I88:I97" si="35">STDEVA(E74,I74,M74,Q74,U74)</f>
        <v>5.1764347411896339E-2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 spans="1:23" x14ac:dyDescent="0.2">
      <c r="A89" s="20" t="s">
        <v>40</v>
      </c>
      <c r="B89" s="64">
        <f t="shared" si="28"/>
        <v>5.7875711210480338E-2</v>
      </c>
      <c r="C89" s="64">
        <f t="shared" si="29"/>
        <v>9.7690280340296982E-3</v>
      </c>
      <c r="D89" s="64">
        <f t="shared" si="30"/>
        <v>9.7153633863631295E-2</v>
      </c>
      <c r="E89" s="64">
        <f t="shared" si="31"/>
        <v>2.641408056679552E-2</v>
      </c>
      <c r="F89" s="64">
        <f t="shared" si="32"/>
        <v>0.10256882239603818</v>
      </c>
      <c r="G89" s="64">
        <f t="shared" si="33"/>
        <v>4.2028158533818617E-2</v>
      </c>
      <c r="H89" s="64">
        <f t="shared" si="34"/>
        <v>5.1745803066665388E-2</v>
      </c>
      <c r="I89" s="64">
        <f t="shared" si="35"/>
        <v>5.9098516274629712E-3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 spans="1:23" x14ac:dyDescent="0.2">
      <c r="A90" s="20" t="s">
        <v>41</v>
      </c>
      <c r="B90" s="64">
        <f t="shared" si="28"/>
        <v>2.7032161674114302E-2</v>
      </c>
      <c r="C90" s="64">
        <f t="shared" si="29"/>
        <v>3.898357934378701E-2</v>
      </c>
      <c r="D90" s="64">
        <f t="shared" si="30"/>
        <v>0.21751733465011247</v>
      </c>
      <c r="E90" s="64">
        <f t="shared" si="31"/>
        <v>7.5851877754819053E-2</v>
      </c>
      <c r="F90" s="64">
        <f t="shared" si="32"/>
        <v>0.49536778266311077</v>
      </c>
      <c r="G90" s="64">
        <f t="shared" si="33"/>
        <v>0.1449244311168176</v>
      </c>
      <c r="H90" s="64">
        <f t="shared" si="34"/>
        <v>0.84081768222025721</v>
      </c>
      <c r="I90" s="64">
        <f t="shared" si="35"/>
        <v>0.1592891233259473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 spans="1:23" x14ac:dyDescent="0.2">
      <c r="A91" s="20" t="s">
        <v>42</v>
      </c>
      <c r="B91" s="64">
        <f t="shared" si="28"/>
        <v>0.22688512776118869</v>
      </c>
      <c r="C91" s="64">
        <f t="shared" si="29"/>
        <v>5.0954893016052612E-2</v>
      </c>
      <c r="D91" s="64">
        <f t="shared" si="30"/>
        <v>0.2160989366088753</v>
      </c>
      <c r="E91" s="64">
        <f t="shared" si="31"/>
        <v>2.6696521107642885E-2</v>
      </c>
      <c r="F91" s="64">
        <f t="shared" si="32"/>
        <v>0.24014006805316077</v>
      </c>
      <c r="G91" s="64">
        <f t="shared" si="33"/>
        <v>2.2446773111110072E-2</v>
      </c>
      <c r="H91" s="64">
        <f t="shared" si="34"/>
        <v>0.21803383423347658</v>
      </c>
      <c r="I91" s="64">
        <f t="shared" si="35"/>
        <v>6.5209013764045143E-2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 spans="1:23" x14ac:dyDescent="0.2">
      <c r="A92" s="20" t="s">
        <v>43</v>
      </c>
      <c r="B92" s="64">
        <f t="shared" si="28"/>
        <v>3.3091282910097136E-2</v>
      </c>
      <c r="C92" s="64">
        <f t="shared" si="29"/>
        <v>1.4753631095777089E-2</v>
      </c>
      <c r="D92" s="64">
        <f t="shared" si="30"/>
        <v>7.5498807936979648E-2</v>
      </c>
      <c r="E92" s="64">
        <f t="shared" si="31"/>
        <v>1.8601202825080498E-2</v>
      </c>
      <c r="F92" s="64">
        <f t="shared" si="32"/>
        <v>7.4298726117030339E-2</v>
      </c>
      <c r="G92" s="64">
        <f t="shared" si="33"/>
        <v>1.0689919699588197E-2</v>
      </c>
      <c r="H92" s="64">
        <f t="shared" si="34"/>
        <v>0.13197502006187289</v>
      </c>
      <c r="I92" s="64">
        <f t="shared" si="35"/>
        <v>3.963291263013087E-2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 spans="1:23" x14ac:dyDescent="0.2">
      <c r="A93" s="20" t="s">
        <v>44</v>
      </c>
      <c r="B93" s="64">
        <f t="shared" si="28"/>
        <v>3.5397593941995195E-2</v>
      </c>
      <c r="C93" s="64">
        <f t="shared" si="29"/>
        <v>1.6889741247641143E-2</v>
      </c>
      <c r="D93" s="64">
        <f t="shared" si="30"/>
        <v>4.2739134132594059E-2</v>
      </c>
      <c r="E93" s="64">
        <f t="shared" si="31"/>
        <v>2.5767451461912873E-2</v>
      </c>
      <c r="F93" s="64">
        <f t="shared" si="32"/>
        <v>0.18656854972795212</v>
      </c>
      <c r="G93" s="64">
        <f t="shared" si="33"/>
        <v>5.9397492396988411E-2</v>
      </c>
      <c r="H93" s="64">
        <f t="shared" si="34"/>
        <v>0.3924077090173036</v>
      </c>
      <c r="I93" s="64">
        <f t="shared" si="35"/>
        <v>0.13784684945207448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 spans="1:23" x14ac:dyDescent="0.2">
      <c r="A94" s="20" t="s">
        <v>45</v>
      </c>
      <c r="B94" s="64">
        <f t="shared" si="28"/>
        <v>6.8149546536168032E-2</v>
      </c>
      <c r="C94" s="64">
        <f t="shared" si="29"/>
        <v>1.2798949303193511E-2</v>
      </c>
      <c r="D94" s="64">
        <f t="shared" si="30"/>
        <v>0.21195877542759484</v>
      </c>
      <c r="E94" s="64">
        <f t="shared" si="31"/>
        <v>9.4260727090039242E-2</v>
      </c>
      <c r="F94" s="64">
        <f t="shared" si="32"/>
        <v>0.1226283626160078</v>
      </c>
      <c r="G94" s="64">
        <f t="shared" si="33"/>
        <v>2.9293058778220461E-2</v>
      </c>
      <c r="H94" s="64">
        <f t="shared" si="34"/>
        <v>0.26805307268993656</v>
      </c>
      <c r="I94" s="64">
        <f t="shared" si="35"/>
        <v>2.5797521206384497E-2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 spans="1:23" x14ac:dyDescent="0.2">
      <c r="A95" s="20" t="s">
        <v>47</v>
      </c>
      <c r="B95" s="64">
        <f t="shared" si="28"/>
        <v>0.86518511177011315</v>
      </c>
      <c r="C95" s="64">
        <f t="shared" si="29"/>
        <v>5.4972943434314053E-2</v>
      </c>
      <c r="D95" s="64">
        <f t="shared" si="30"/>
        <v>1.0430112502774476</v>
      </c>
      <c r="E95" s="64">
        <f t="shared" si="31"/>
        <v>0.17597985557435747</v>
      </c>
      <c r="F95" s="64">
        <f t="shared" si="32"/>
        <v>1.3021261879232084</v>
      </c>
      <c r="G95" s="64">
        <f t="shared" si="33"/>
        <v>0.12357438507161503</v>
      </c>
      <c r="H95" s="64">
        <f t="shared" si="34"/>
        <v>1.6037005779058497</v>
      </c>
      <c r="I95" s="64">
        <f t="shared" si="35"/>
        <v>0.36654233615520437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 spans="1:23" x14ac:dyDescent="0.2">
      <c r="A96" s="20" t="s">
        <v>48</v>
      </c>
      <c r="B96" s="64">
        <f t="shared" si="28"/>
        <v>2.9059263980784178E-2</v>
      </c>
      <c r="C96" s="64">
        <f t="shared" si="29"/>
        <v>5.6218604029619618E-3</v>
      </c>
      <c r="D96" s="64">
        <f t="shared" si="30"/>
        <v>0.14882025848209418</v>
      </c>
      <c r="E96" s="64">
        <f t="shared" si="31"/>
        <v>4.9392123120981506E-2</v>
      </c>
      <c r="F96" s="64">
        <f t="shared" si="32"/>
        <v>0.15167514357952541</v>
      </c>
      <c r="G96" s="64">
        <f t="shared" si="33"/>
        <v>3.414057941967235E-2</v>
      </c>
      <c r="H96" s="64">
        <f t="shared" si="34"/>
        <v>0.18122780807871172</v>
      </c>
      <c r="I96" s="64">
        <f t="shared" si="35"/>
        <v>6.502526700924996E-2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 spans="1:23" x14ac:dyDescent="0.2">
      <c r="A97" s="26" t="s">
        <v>49</v>
      </c>
      <c r="B97" s="65">
        <f t="shared" si="28"/>
        <v>3.6869917753651303E-2</v>
      </c>
      <c r="C97" s="65">
        <f t="shared" si="29"/>
        <v>3.0878967815744637E-3</v>
      </c>
      <c r="D97" s="65">
        <f t="shared" si="30"/>
        <v>4.0134046517452449E-2</v>
      </c>
      <c r="E97" s="65">
        <f t="shared" si="31"/>
        <v>6.4861300880627235E-3</v>
      </c>
      <c r="F97" s="65">
        <f t="shared" si="32"/>
        <v>4.134940633860993E-2</v>
      </c>
      <c r="G97" s="65">
        <f t="shared" si="33"/>
        <v>6.3707370355757884E-3</v>
      </c>
      <c r="H97" s="65">
        <f t="shared" si="34"/>
        <v>4.7879712477734947E-2</v>
      </c>
      <c r="I97" s="65">
        <f t="shared" si="35"/>
        <v>1.3680709632911013E-2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 spans="1:23" x14ac:dyDescent="0.2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 spans="1:23" x14ac:dyDescent="0.2">
      <c r="A99" s="66" t="s">
        <v>59</v>
      </c>
      <c r="B99" s="67">
        <f>SUM(B90:B92)</f>
        <v>0.28700857234540011</v>
      </c>
      <c r="C99" s="67">
        <f>AVERAGE(C88:C97)</f>
        <v>2.1790258968958108E-2</v>
      </c>
      <c r="D99" s="67">
        <f>SUM(D90:D92)</f>
        <v>0.50911507919596743</v>
      </c>
      <c r="E99" s="67">
        <f>AVERAGE(E88:E97)</f>
        <v>5.164749030387393E-2</v>
      </c>
      <c r="F99" s="67">
        <f>SUM(F90:F92)</f>
        <v>0.80980657683330193</v>
      </c>
      <c r="G99" s="67">
        <f>AVERAGE(G88:G97)</f>
        <v>5.0041818694330907E-2</v>
      </c>
      <c r="H99" s="67">
        <f>SUM(H90:H92)</f>
        <v>1.1908265365156065</v>
      </c>
      <c r="I99" s="67">
        <f>AVERAGE(I88:I97)</f>
        <v>9.3069793221530694E-2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 spans="1:23" x14ac:dyDescent="0.2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</sheetData>
  <mergeCells count="7">
    <mergeCell ref="B24:U24"/>
    <mergeCell ref="B39:U39"/>
    <mergeCell ref="B72:U72"/>
    <mergeCell ref="B86:C86"/>
    <mergeCell ref="D86:E86"/>
    <mergeCell ref="F86:G86"/>
    <mergeCell ref="H86:I8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B2788-CBC4-40D8-9EAB-A70B4A550BA0}">
  <dimension ref="A1:W100"/>
  <sheetViews>
    <sheetView topLeftCell="A9" workbookViewId="0">
      <selection activeCell="C16" sqref="C16"/>
    </sheetView>
  </sheetViews>
  <sheetFormatPr baseColWidth="10" defaultColWidth="11.5" defaultRowHeight="15" x14ac:dyDescent="0.2"/>
  <cols>
    <col min="1" max="1" width="29.5" bestFit="1" customWidth="1"/>
    <col min="2" max="2" width="18.33203125" bestFit="1" customWidth="1"/>
    <col min="3" max="5" width="17.1640625" bestFit="1" customWidth="1"/>
    <col min="6" max="6" width="15.33203125" bestFit="1" customWidth="1"/>
    <col min="7" max="7" width="12" bestFit="1" customWidth="1"/>
    <col min="8" max="9" width="12.5" bestFit="1" customWidth="1"/>
    <col min="10" max="10" width="12" bestFit="1" customWidth="1"/>
    <col min="12" max="14" width="12.5" bestFit="1" customWidth="1"/>
    <col min="16" max="17" width="12.5" bestFit="1" customWidth="1"/>
    <col min="18" max="19" width="12" bestFit="1" customWidth="1"/>
    <col min="20" max="21" width="12.5" bestFit="1" customWidth="1"/>
  </cols>
  <sheetData>
    <row r="1" spans="1:23" hidden="1" x14ac:dyDescent="0.2">
      <c r="A1" s="7" t="s">
        <v>12</v>
      </c>
      <c r="B1" s="7">
        <v>20</v>
      </c>
      <c r="C1" s="7"/>
      <c r="D1" s="7"/>
      <c r="E1" s="8"/>
      <c r="F1" s="8"/>
      <c r="G1" s="8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 hidden="1" x14ac:dyDescent="0.2">
      <c r="A2" s="10"/>
      <c r="B2" s="8"/>
      <c r="C2" s="8"/>
      <c r="D2" s="8"/>
      <c r="E2" s="8"/>
      <c r="F2" s="8"/>
      <c r="G2" s="8"/>
      <c r="H2" s="11"/>
      <c r="I2" s="11"/>
      <c r="J2" s="11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hidden="1" x14ac:dyDescent="0.2">
      <c r="A3" s="7" t="s">
        <v>13</v>
      </c>
      <c r="B3" s="7">
        <v>2.5100000000000001E-2</v>
      </c>
      <c r="C3" s="12" t="s">
        <v>14</v>
      </c>
      <c r="D3" s="7"/>
      <c r="E3" s="12"/>
      <c r="F3" s="12"/>
      <c r="G3" s="12"/>
      <c r="H3" s="11"/>
      <c r="I3" s="11"/>
      <c r="J3" s="11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hidden="1" x14ac:dyDescent="0.2">
      <c r="A4" s="7" t="s">
        <v>15</v>
      </c>
      <c r="B4" s="7">
        <v>1.1662213962132653</v>
      </c>
      <c r="C4" s="12" t="s">
        <v>16</v>
      </c>
      <c r="D4" s="7"/>
      <c r="E4" s="12"/>
      <c r="F4" s="12"/>
      <c r="G4" s="12"/>
      <c r="H4" s="11"/>
      <c r="I4" s="11"/>
      <c r="J4" s="11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spans="1:23" hidden="1" x14ac:dyDescent="0.2">
      <c r="A5" s="7" t="s">
        <v>17</v>
      </c>
      <c r="B5" s="7">
        <v>0.23324427924265306</v>
      </c>
      <c r="C5" s="12" t="s">
        <v>16</v>
      </c>
      <c r="D5" s="7"/>
      <c r="E5" s="12"/>
      <c r="F5" s="12"/>
      <c r="G5" s="12"/>
      <c r="H5" s="11"/>
      <c r="I5" s="11"/>
      <c r="J5" s="11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spans="1:23" hidden="1" x14ac:dyDescent="0.2">
      <c r="A6" s="7" t="s">
        <v>17</v>
      </c>
      <c r="B6" s="7">
        <v>20.080000000000002</v>
      </c>
      <c r="C6" s="12" t="s">
        <v>18</v>
      </c>
      <c r="D6" s="7"/>
      <c r="E6" s="12" t="s">
        <v>18</v>
      </c>
      <c r="F6" s="12"/>
      <c r="G6" s="12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spans="1:23" hidden="1" x14ac:dyDescent="0.2">
      <c r="A7" s="10"/>
      <c r="B7" s="8"/>
      <c r="C7" s="8"/>
      <c r="D7" s="8"/>
      <c r="E7" s="8"/>
      <c r="F7" s="8"/>
      <c r="G7" s="8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spans="1:23" hidden="1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spans="1:23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spans="1:23" ht="16" x14ac:dyDescent="0.2">
      <c r="A10" s="9"/>
      <c r="B10" s="13" t="s">
        <v>19</v>
      </c>
      <c r="C10" s="13" t="s">
        <v>20</v>
      </c>
      <c r="D10" s="13" t="s">
        <v>21</v>
      </c>
      <c r="E10" s="13" t="s">
        <v>22</v>
      </c>
      <c r="F10" s="13" t="s">
        <v>23</v>
      </c>
      <c r="G10" s="13" t="s">
        <v>24</v>
      </c>
      <c r="H10" s="13" t="s">
        <v>25</v>
      </c>
      <c r="I10" s="13" t="s">
        <v>26</v>
      </c>
      <c r="J10" s="14" t="s">
        <v>27</v>
      </c>
      <c r="K10" s="13" t="s">
        <v>28</v>
      </c>
      <c r="L10" s="13" t="s">
        <v>29</v>
      </c>
      <c r="M10" s="13" t="s">
        <v>30</v>
      </c>
      <c r="N10" s="13" t="s">
        <v>31</v>
      </c>
      <c r="O10" s="13" t="s">
        <v>32</v>
      </c>
      <c r="P10" s="13" t="s">
        <v>33</v>
      </c>
      <c r="Q10" s="13" t="s">
        <v>34</v>
      </c>
      <c r="R10" s="13" t="s">
        <v>35</v>
      </c>
      <c r="S10" s="13" t="s">
        <v>36</v>
      </c>
      <c r="T10" s="13" t="s">
        <v>37</v>
      </c>
      <c r="U10" s="13" t="s">
        <v>38</v>
      </c>
      <c r="V10" s="9"/>
      <c r="W10" s="9"/>
    </row>
    <row r="11" spans="1:23" x14ac:dyDescent="0.2">
      <c r="A11" s="15" t="s">
        <v>39</v>
      </c>
      <c r="B11" s="70">
        <v>92785</v>
      </c>
      <c r="C11" s="9">
        <v>663736</v>
      </c>
      <c r="D11" s="9">
        <v>2038351</v>
      </c>
      <c r="E11" s="16">
        <v>2844303</v>
      </c>
      <c r="F11" s="70">
        <v>88066</v>
      </c>
      <c r="G11" s="9">
        <v>757758</v>
      </c>
      <c r="H11" s="9">
        <v>865756</v>
      </c>
      <c r="I11" s="17">
        <v>236856</v>
      </c>
      <c r="J11" s="70">
        <v>67739</v>
      </c>
      <c r="K11" s="19">
        <v>1272824</v>
      </c>
      <c r="L11">
        <v>3211245</v>
      </c>
      <c r="M11" s="16">
        <v>3539024</v>
      </c>
      <c r="N11" s="70">
        <v>82365</v>
      </c>
      <c r="O11" s="9">
        <v>1671725</v>
      </c>
      <c r="P11" s="9">
        <v>2837273</v>
      </c>
      <c r="Q11" s="16">
        <v>3520165</v>
      </c>
      <c r="R11" s="71">
        <v>66763</v>
      </c>
      <c r="S11" s="19">
        <v>1405482</v>
      </c>
      <c r="T11" s="19">
        <v>2764869</v>
      </c>
      <c r="U11" s="16">
        <v>3647627</v>
      </c>
      <c r="V11" s="9"/>
      <c r="W11" s="9"/>
    </row>
    <row r="12" spans="1:23" x14ac:dyDescent="0.2">
      <c r="A12" s="20" t="s">
        <v>40</v>
      </c>
      <c r="B12" s="2">
        <v>107710</v>
      </c>
      <c r="C12" s="9">
        <v>236216</v>
      </c>
      <c r="D12" s="9">
        <v>271941</v>
      </c>
      <c r="E12" s="17">
        <v>199005</v>
      </c>
      <c r="F12" s="2">
        <v>82786</v>
      </c>
      <c r="G12" s="9">
        <v>193105</v>
      </c>
      <c r="H12" s="9">
        <v>204851</v>
      </c>
      <c r="I12" s="17">
        <v>234336</v>
      </c>
      <c r="J12" s="2">
        <v>67189</v>
      </c>
      <c r="K12" s="9">
        <v>189682</v>
      </c>
      <c r="L12">
        <v>61481</v>
      </c>
      <c r="M12" s="17">
        <v>225602</v>
      </c>
      <c r="N12" s="2">
        <v>79404</v>
      </c>
      <c r="O12" s="9">
        <v>29709</v>
      </c>
      <c r="P12" s="9">
        <v>192675</v>
      </c>
      <c r="Q12" s="17">
        <v>206306</v>
      </c>
      <c r="R12">
        <v>67994</v>
      </c>
      <c r="S12" s="9">
        <v>182035</v>
      </c>
      <c r="T12" s="9">
        <v>210361</v>
      </c>
      <c r="U12" s="17">
        <v>222011</v>
      </c>
      <c r="V12" s="9"/>
      <c r="W12" s="9"/>
    </row>
    <row r="13" spans="1:23" x14ac:dyDescent="0.2">
      <c r="A13" s="20" t="s">
        <v>41</v>
      </c>
      <c r="B13" s="22">
        <v>6869</v>
      </c>
      <c r="C13" s="9">
        <v>350179</v>
      </c>
      <c r="D13" s="9">
        <v>1049042</v>
      </c>
      <c r="E13" s="17">
        <v>1696698</v>
      </c>
      <c r="F13" s="2">
        <v>22979</v>
      </c>
      <c r="G13" s="9">
        <v>329061</v>
      </c>
      <c r="H13" s="9">
        <v>826632</v>
      </c>
      <c r="I13" s="17">
        <v>1427127</v>
      </c>
      <c r="J13" s="22">
        <v>70287</v>
      </c>
      <c r="K13" s="9">
        <v>765541</v>
      </c>
      <c r="L13">
        <v>1863469</v>
      </c>
      <c r="M13" s="17">
        <v>2182756</v>
      </c>
      <c r="N13" s="22">
        <v>16950</v>
      </c>
      <c r="O13" s="9">
        <v>891343</v>
      </c>
      <c r="P13" s="9">
        <v>1626553</v>
      </c>
      <c r="Q13" s="17">
        <v>1940052</v>
      </c>
      <c r="R13">
        <v>6718</v>
      </c>
      <c r="S13" s="9">
        <v>191378</v>
      </c>
      <c r="T13" s="9">
        <v>299521</v>
      </c>
      <c r="U13" s="17">
        <v>386655</v>
      </c>
      <c r="V13" s="9"/>
      <c r="W13" s="9"/>
    </row>
    <row r="14" spans="1:23" x14ac:dyDescent="0.2">
      <c r="A14" s="20" t="s">
        <v>42</v>
      </c>
      <c r="B14" s="2">
        <v>236649</v>
      </c>
      <c r="C14" s="9">
        <v>167547</v>
      </c>
      <c r="D14" s="9">
        <v>230206</v>
      </c>
      <c r="E14" s="17">
        <v>173886</v>
      </c>
      <c r="F14" s="2">
        <v>148107</v>
      </c>
      <c r="G14" s="9">
        <v>503271</v>
      </c>
      <c r="H14" s="9">
        <v>691807</v>
      </c>
      <c r="I14" s="17">
        <v>891331</v>
      </c>
      <c r="J14" s="2">
        <v>126288</v>
      </c>
      <c r="K14" s="9">
        <v>337369</v>
      </c>
      <c r="L14">
        <v>503825</v>
      </c>
      <c r="M14" s="17">
        <v>416344</v>
      </c>
      <c r="N14" s="2">
        <v>152178</v>
      </c>
      <c r="O14" s="9">
        <v>450366</v>
      </c>
      <c r="P14" s="9">
        <v>396125</v>
      </c>
      <c r="Q14" s="17">
        <v>334309</v>
      </c>
      <c r="R14">
        <v>127094</v>
      </c>
      <c r="S14" s="9">
        <v>574299</v>
      </c>
      <c r="T14" s="9">
        <v>696137</v>
      </c>
      <c r="U14" s="17">
        <v>718627</v>
      </c>
      <c r="V14" s="9"/>
      <c r="W14" s="9"/>
    </row>
    <row r="15" spans="1:23" x14ac:dyDescent="0.2">
      <c r="A15" s="20" t="s">
        <v>43</v>
      </c>
      <c r="B15" s="2">
        <v>35767</v>
      </c>
      <c r="C15" s="9">
        <v>48916</v>
      </c>
      <c r="D15" s="9">
        <v>55377</v>
      </c>
      <c r="E15" s="17">
        <v>30958</v>
      </c>
      <c r="F15" s="2">
        <v>36622</v>
      </c>
      <c r="G15" s="9">
        <v>93555</v>
      </c>
      <c r="H15" s="9">
        <v>44054</v>
      </c>
      <c r="I15" s="17">
        <v>37990</v>
      </c>
      <c r="J15" s="2">
        <v>66040</v>
      </c>
      <c r="K15" s="9">
        <v>45145</v>
      </c>
      <c r="L15">
        <v>67802</v>
      </c>
      <c r="M15" s="17">
        <v>49678</v>
      </c>
      <c r="N15" s="2">
        <v>39796</v>
      </c>
      <c r="O15" s="9">
        <v>55349</v>
      </c>
      <c r="P15" s="9">
        <v>51610</v>
      </c>
      <c r="Q15" s="17">
        <v>40805</v>
      </c>
      <c r="R15">
        <v>42941</v>
      </c>
      <c r="S15" s="9">
        <v>69117</v>
      </c>
      <c r="T15" s="9">
        <v>59840</v>
      </c>
      <c r="U15" s="17">
        <v>44276</v>
      </c>
      <c r="V15" s="9"/>
      <c r="W15" s="9"/>
    </row>
    <row r="16" spans="1:23" x14ac:dyDescent="0.2">
      <c r="A16" s="20" t="s">
        <v>44</v>
      </c>
      <c r="B16" s="2">
        <v>34084</v>
      </c>
      <c r="C16" s="9">
        <v>124926</v>
      </c>
      <c r="D16" s="9">
        <v>319369</v>
      </c>
      <c r="E16" s="17">
        <v>317206</v>
      </c>
      <c r="F16" s="2">
        <v>21942</v>
      </c>
      <c r="G16" s="9">
        <v>71704</v>
      </c>
      <c r="H16" s="9">
        <v>232469</v>
      </c>
      <c r="I16" s="17">
        <v>715501</v>
      </c>
      <c r="J16" s="2">
        <v>40563</v>
      </c>
      <c r="K16" s="9">
        <v>63556</v>
      </c>
      <c r="L16">
        <v>84377</v>
      </c>
      <c r="M16" s="17">
        <v>75561</v>
      </c>
      <c r="N16" s="22">
        <v>15466</v>
      </c>
      <c r="O16" s="9">
        <v>20920</v>
      </c>
      <c r="P16" s="9">
        <v>28097</v>
      </c>
      <c r="Q16" s="17">
        <v>33027</v>
      </c>
      <c r="R16">
        <v>12680</v>
      </c>
      <c r="S16" s="9">
        <v>34986</v>
      </c>
      <c r="T16" s="9">
        <v>54240</v>
      </c>
      <c r="U16" s="17">
        <v>45065</v>
      </c>
      <c r="V16" s="9"/>
      <c r="W16" s="9"/>
    </row>
    <row r="17" spans="1:23" x14ac:dyDescent="0.2">
      <c r="A17" s="20" t="s">
        <v>45</v>
      </c>
      <c r="B17" s="22">
        <v>23785</v>
      </c>
      <c r="C17" s="9">
        <v>19811</v>
      </c>
      <c r="D17" s="9">
        <v>28167</v>
      </c>
      <c r="E17" s="17">
        <v>39751</v>
      </c>
      <c r="F17" s="2">
        <v>30348</v>
      </c>
      <c r="G17" s="9">
        <v>27032</v>
      </c>
      <c r="H17" s="9">
        <v>29585</v>
      </c>
      <c r="I17" s="17">
        <v>38429</v>
      </c>
      <c r="J17" s="2">
        <v>21104</v>
      </c>
      <c r="K17" s="9">
        <v>35780</v>
      </c>
      <c r="L17">
        <v>56477</v>
      </c>
      <c r="M17" s="17">
        <v>47897</v>
      </c>
      <c r="N17" s="2">
        <v>33957</v>
      </c>
      <c r="O17" s="9">
        <v>34882</v>
      </c>
      <c r="P17" s="9">
        <v>40447</v>
      </c>
      <c r="Q17" s="17">
        <v>45902</v>
      </c>
      <c r="R17">
        <v>11660</v>
      </c>
      <c r="S17" s="9">
        <v>29582</v>
      </c>
      <c r="T17" s="9">
        <v>28755</v>
      </c>
      <c r="U17" s="17">
        <v>28886</v>
      </c>
      <c r="V17" s="9"/>
      <c r="W17" s="9"/>
    </row>
    <row r="18" spans="1:23" x14ac:dyDescent="0.2">
      <c r="A18" s="23" t="s">
        <v>46</v>
      </c>
      <c r="B18" s="74">
        <v>5670700</v>
      </c>
      <c r="C18" s="24">
        <v>5222839</v>
      </c>
      <c r="D18" s="24">
        <v>5380152</v>
      </c>
      <c r="E18" s="25">
        <v>5442351</v>
      </c>
      <c r="F18" s="74">
        <v>5101285</v>
      </c>
      <c r="G18" s="24">
        <v>5198349</v>
      </c>
      <c r="H18" s="24">
        <v>5337775</v>
      </c>
      <c r="I18" s="25">
        <v>5398269</v>
      </c>
      <c r="J18" s="74">
        <v>5062824</v>
      </c>
      <c r="K18" s="24">
        <v>5258823</v>
      </c>
      <c r="L18" s="69">
        <v>5408323</v>
      </c>
      <c r="M18" s="25">
        <v>5405374</v>
      </c>
      <c r="N18" s="74">
        <v>5228153</v>
      </c>
      <c r="O18" s="24">
        <v>5304256</v>
      </c>
      <c r="P18" s="24">
        <v>5465614</v>
      </c>
      <c r="Q18" s="25">
        <v>5473810</v>
      </c>
      <c r="R18" s="75">
        <v>5039301</v>
      </c>
      <c r="S18" s="24">
        <v>5206336</v>
      </c>
      <c r="T18" s="24">
        <v>5325159</v>
      </c>
      <c r="U18" s="25">
        <v>5326884</v>
      </c>
      <c r="V18" s="9"/>
      <c r="W18" s="9"/>
    </row>
    <row r="19" spans="1:23" x14ac:dyDescent="0.2">
      <c r="A19" s="20" t="s">
        <v>47</v>
      </c>
      <c r="B19" s="2">
        <v>590395</v>
      </c>
      <c r="C19" s="9">
        <v>779692</v>
      </c>
      <c r="D19" s="9">
        <v>1186041</v>
      </c>
      <c r="E19" s="17">
        <v>952978</v>
      </c>
      <c r="F19" s="2">
        <v>572047</v>
      </c>
      <c r="G19" s="9">
        <v>829878</v>
      </c>
      <c r="H19" s="9">
        <v>837515</v>
      </c>
      <c r="I19" s="17">
        <v>993083</v>
      </c>
      <c r="J19" s="2">
        <v>549923</v>
      </c>
      <c r="K19" s="9">
        <v>49792</v>
      </c>
      <c r="L19">
        <v>64692</v>
      </c>
      <c r="M19" s="17">
        <v>52546</v>
      </c>
      <c r="N19" s="2">
        <v>590450</v>
      </c>
      <c r="O19" s="9">
        <v>829155</v>
      </c>
      <c r="P19" s="9">
        <v>840140</v>
      </c>
      <c r="Q19" s="17">
        <v>809200</v>
      </c>
      <c r="R19">
        <v>485178</v>
      </c>
      <c r="S19" s="9">
        <v>823533</v>
      </c>
      <c r="T19" s="9">
        <v>832686</v>
      </c>
      <c r="U19" s="17">
        <v>801045</v>
      </c>
      <c r="V19" s="9"/>
      <c r="W19" s="9"/>
    </row>
    <row r="20" spans="1:23" x14ac:dyDescent="0.2">
      <c r="A20" s="20" t="s">
        <v>48</v>
      </c>
      <c r="B20" s="2">
        <v>20645</v>
      </c>
      <c r="C20" s="9">
        <v>38191</v>
      </c>
      <c r="D20" s="9">
        <v>11363</v>
      </c>
      <c r="E20" s="17">
        <v>14415</v>
      </c>
      <c r="F20" s="2">
        <v>16963</v>
      </c>
      <c r="G20" s="9">
        <v>32526</v>
      </c>
      <c r="H20" s="9">
        <v>18412</v>
      </c>
      <c r="I20" s="17">
        <v>11222</v>
      </c>
      <c r="J20" s="2">
        <v>13138</v>
      </c>
      <c r="K20" s="9">
        <v>109286</v>
      </c>
      <c r="L20" s="9">
        <v>18639</v>
      </c>
      <c r="M20" s="17">
        <v>28705</v>
      </c>
      <c r="N20" s="2">
        <v>13255</v>
      </c>
      <c r="O20" s="9">
        <v>63135</v>
      </c>
      <c r="P20" s="9">
        <v>51665</v>
      </c>
      <c r="Q20" s="17">
        <v>81040</v>
      </c>
      <c r="R20">
        <v>10312</v>
      </c>
      <c r="S20" s="9">
        <v>112855</v>
      </c>
      <c r="T20" s="9">
        <v>15485</v>
      </c>
      <c r="U20" s="17">
        <v>17508</v>
      </c>
      <c r="V20" s="9"/>
      <c r="W20" s="9"/>
    </row>
    <row r="21" spans="1:23" x14ac:dyDescent="0.2">
      <c r="A21" s="26" t="s">
        <v>49</v>
      </c>
      <c r="B21" s="68">
        <v>26012</v>
      </c>
      <c r="C21" s="28">
        <v>37160</v>
      </c>
      <c r="D21" s="28">
        <v>40980</v>
      </c>
      <c r="E21" s="29">
        <v>32555</v>
      </c>
      <c r="F21" s="68">
        <v>21375</v>
      </c>
      <c r="G21" s="28">
        <v>26342</v>
      </c>
      <c r="H21" s="28">
        <v>23704</v>
      </c>
      <c r="I21" s="29">
        <v>26810</v>
      </c>
      <c r="J21" s="68">
        <v>22059</v>
      </c>
      <c r="K21" s="28">
        <v>26807</v>
      </c>
      <c r="L21" s="28">
        <v>37984</v>
      </c>
      <c r="M21" s="29">
        <v>28834</v>
      </c>
      <c r="N21" s="68">
        <v>22275</v>
      </c>
      <c r="O21" s="28">
        <v>28462</v>
      </c>
      <c r="P21" s="28">
        <v>30251</v>
      </c>
      <c r="Q21" s="29">
        <v>23343</v>
      </c>
      <c r="R21" s="77">
        <v>17925</v>
      </c>
      <c r="S21" s="28">
        <v>25115</v>
      </c>
      <c r="T21" s="28">
        <v>28964</v>
      </c>
      <c r="U21" s="29">
        <v>25895</v>
      </c>
      <c r="V21" s="9"/>
      <c r="W21" s="9"/>
    </row>
    <row r="22" spans="1:23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spans="1:23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 spans="1:23" ht="16" x14ac:dyDescent="0.2">
      <c r="A24" s="9"/>
      <c r="B24" s="124" t="s">
        <v>50</v>
      </c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9"/>
      <c r="W24" s="9"/>
    </row>
    <row r="25" spans="1:23" ht="16" x14ac:dyDescent="0.2">
      <c r="A25" s="9"/>
      <c r="B25" s="13" t="str">
        <f t="shared" ref="B25:U25" si="0">B10</f>
        <v>A_0h</v>
      </c>
      <c r="C25" s="13" t="str">
        <f t="shared" si="0"/>
        <v>A_12h</v>
      </c>
      <c r="D25" s="13" t="str">
        <f t="shared" si="0"/>
        <v>A_24h</v>
      </c>
      <c r="E25" s="13" t="str">
        <f t="shared" si="0"/>
        <v>A_48h</v>
      </c>
      <c r="F25" s="13" t="str">
        <f t="shared" si="0"/>
        <v>B_0h</v>
      </c>
      <c r="G25" s="13" t="str">
        <f t="shared" si="0"/>
        <v>B_12h</v>
      </c>
      <c r="H25" s="13" t="str">
        <f t="shared" si="0"/>
        <v>B_24h</v>
      </c>
      <c r="I25" s="13" t="str">
        <f t="shared" si="0"/>
        <v>B_48h</v>
      </c>
      <c r="J25" s="13" t="str">
        <f t="shared" si="0"/>
        <v>C_0h</v>
      </c>
      <c r="K25" s="13" t="str">
        <f t="shared" si="0"/>
        <v>C_12h</v>
      </c>
      <c r="L25" s="13" t="str">
        <f t="shared" si="0"/>
        <v>C_24h</v>
      </c>
      <c r="M25" s="13" t="str">
        <f t="shared" si="0"/>
        <v>C_48h</v>
      </c>
      <c r="N25" s="13" t="str">
        <f t="shared" si="0"/>
        <v>D_0h</v>
      </c>
      <c r="O25" s="13" t="str">
        <f t="shared" si="0"/>
        <v>D_12h</v>
      </c>
      <c r="P25" s="13" t="str">
        <f t="shared" si="0"/>
        <v>D_24h</v>
      </c>
      <c r="Q25" s="13" t="str">
        <f t="shared" si="0"/>
        <v>D_48h</v>
      </c>
      <c r="R25" s="13" t="str">
        <f t="shared" si="0"/>
        <v>E_0h</v>
      </c>
      <c r="S25" s="13" t="str">
        <f t="shared" si="0"/>
        <v>E_12h</v>
      </c>
      <c r="T25" s="13" t="str">
        <f t="shared" si="0"/>
        <v>E_24h</v>
      </c>
      <c r="U25" s="13" t="str">
        <f t="shared" si="0"/>
        <v>E_48h</v>
      </c>
      <c r="V25" s="9"/>
      <c r="W25" s="9"/>
    </row>
    <row r="26" spans="1:23" x14ac:dyDescent="0.2">
      <c r="A26" s="15" t="s">
        <v>39</v>
      </c>
      <c r="B26" s="18">
        <f>B11/$B$18</f>
        <v>1.6362177508949513E-2</v>
      </c>
      <c r="C26" s="19">
        <f t="shared" ref="C26:C36" si="1">C11/$C$18</f>
        <v>0.12708337362112829</v>
      </c>
      <c r="D26" s="19">
        <f t="shared" ref="D26:D36" si="2">D11/$D$18</f>
        <v>0.37886494656656539</v>
      </c>
      <c r="E26" s="16">
        <f t="shared" ref="E26:E36" si="3">E11/$E$18</f>
        <v>0.52262395424330399</v>
      </c>
      <c r="F26" s="19">
        <f t="shared" ref="F26:F36" si="4">F11/$F$18</f>
        <v>1.7263493413914338E-2</v>
      </c>
      <c r="G26" s="19">
        <f t="shared" ref="G26:G36" si="5">G11/$G$18</f>
        <v>0.14576897395692362</v>
      </c>
      <c r="H26" s="19">
        <f t="shared" ref="H26:H36" si="6">H11/$H$18</f>
        <v>0.16219417266557695</v>
      </c>
      <c r="I26" s="19">
        <f t="shared" ref="I26:I36" si="7">I11/$I$18</f>
        <v>4.3876287009780357E-2</v>
      </c>
      <c r="J26" s="18">
        <f t="shared" ref="J26:J36" si="8">J11/$J$18</f>
        <v>1.3379686909914309E-2</v>
      </c>
      <c r="K26" s="19">
        <f t="shared" ref="K26:K36" si="9">K11/$K$18</f>
        <v>0.24203590803493483</v>
      </c>
      <c r="L26" s="19">
        <f t="shared" ref="L26:L36" si="10">L11/$L$18</f>
        <v>0.59375984015747585</v>
      </c>
      <c r="M26" s="16">
        <f t="shared" ref="M26:M36" si="11">M11/$M$18</f>
        <v>0.65472324394204728</v>
      </c>
      <c r="N26" s="31">
        <f t="shared" ref="N26:N36" si="12">N11/$N$18</f>
        <v>1.5754129613268778E-2</v>
      </c>
      <c r="O26" s="31">
        <f t="shared" ref="O26:O36" si="13">O11/$O$18</f>
        <v>0.31516672649283894</v>
      </c>
      <c r="P26" s="19">
        <f t="shared" ref="P26:P36" si="14">P11/$P$18</f>
        <v>0.51911331462485277</v>
      </c>
      <c r="Q26" s="19">
        <f t="shared" ref="Q26:Q36" si="15">Q11/$Q$18</f>
        <v>0.64309228855221501</v>
      </c>
      <c r="R26" s="18">
        <f t="shared" ref="R26:R36" si="16">R11/$R$18</f>
        <v>1.3248464419966181E-2</v>
      </c>
      <c r="S26" s="19">
        <f t="shared" ref="S26:S36" si="17">S11/$S$18</f>
        <v>0.26995606891295532</v>
      </c>
      <c r="T26" s="19">
        <f t="shared" ref="T26:T36" si="18">T11/$T$18</f>
        <v>0.51920872221843517</v>
      </c>
      <c r="U26" s="16">
        <f t="shared" ref="U26:U36" si="19">U11/$U$18</f>
        <v>0.68475810623997069</v>
      </c>
      <c r="V26" s="9"/>
      <c r="W26" s="9"/>
    </row>
    <row r="27" spans="1:23" x14ac:dyDescent="0.2">
      <c r="A27" s="20" t="s">
        <v>40</v>
      </c>
      <c r="B27" s="22">
        <f t="shared" ref="B27:B36" si="20">B12/$B$18</f>
        <v>1.899412770910117E-2</v>
      </c>
      <c r="C27" s="9">
        <f t="shared" si="1"/>
        <v>4.5227509406282673E-2</v>
      </c>
      <c r="D27" s="9">
        <f t="shared" si="2"/>
        <v>5.0545226231526547E-2</v>
      </c>
      <c r="E27" s="17">
        <f t="shared" si="3"/>
        <v>3.6565998775161687E-2</v>
      </c>
      <c r="F27" s="9">
        <f t="shared" si="4"/>
        <v>1.6228460084076857E-2</v>
      </c>
      <c r="G27" s="9">
        <f t="shared" si="5"/>
        <v>3.714737121343719E-2</v>
      </c>
      <c r="H27" s="9">
        <f t="shared" si="6"/>
        <v>3.8377601154038904E-2</v>
      </c>
      <c r="I27" s="9">
        <f t="shared" si="7"/>
        <v>4.3409470702552987E-2</v>
      </c>
      <c r="J27" s="22">
        <f t="shared" si="8"/>
        <v>1.3271051887247117E-2</v>
      </c>
      <c r="K27" s="9">
        <f t="shared" si="9"/>
        <v>3.6069287747467448E-2</v>
      </c>
      <c r="L27" s="9">
        <f t="shared" si="10"/>
        <v>1.1367849146583885E-2</v>
      </c>
      <c r="M27" s="32">
        <f t="shared" si="11"/>
        <v>4.1736612489718564E-2</v>
      </c>
      <c r="N27" s="9">
        <f t="shared" si="12"/>
        <v>1.5187772813840757E-2</v>
      </c>
      <c r="O27" s="33">
        <f t="shared" si="13"/>
        <v>5.6009740103041784E-3</v>
      </c>
      <c r="P27" s="9">
        <f t="shared" si="14"/>
        <v>3.5252215030186912E-2</v>
      </c>
      <c r="Q27" s="9">
        <f t="shared" si="15"/>
        <v>3.7689653093549103E-2</v>
      </c>
      <c r="R27" s="22">
        <f t="shared" si="16"/>
        <v>1.34927443310094E-2</v>
      </c>
      <c r="S27" s="9">
        <f t="shared" si="17"/>
        <v>3.4964128323642575E-2</v>
      </c>
      <c r="T27" s="9">
        <f t="shared" si="18"/>
        <v>3.9503233612367253E-2</v>
      </c>
      <c r="U27" s="17">
        <f t="shared" si="19"/>
        <v>4.1677460969677581E-2</v>
      </c>
      <c r="V27" s="9"/>
      <c r="W27" s="9"/>
    </row>
    <row r="28" spans="1:23" x14ac:dyDescent="0.2">
      <c r="A28" s="20" t="s">
        <v>41</v>
      </c>
      <c r="B28" s="22">
        <f t="shared" si="20"/>
        <v>1.2113142998218915E-3</v>
      </c>
      <c r="C28" s="9">
        <f t="shared" si="1"/>
        <v>6.7047634437898615E-2</v>
      </c>
      <c r="D28" s="9">
        <f t="shared" si="2"/>
        <v>0.1949837104973986</v>
      </c>
      <c r="E28" s="17">
        <f t="shared" si="3"/>
        <v>0.31175828240405662</v>
      </c>
      <c r="F28" s="33">
        <f t="shared" si="4"/>
        <v>4.5045513042302086E-3</v>
      </c>
      <c r="G28" s="33">
        <f t="shared" si="5"/>
        <v>6.3301059624892436E-2</v>
      </c>
      <c r="H28" s="9">
        <f t="shared" si="6"/>
        <v>0.15486452688620259</v>
      </c>
      <c r="I28" s="9">
        <f t="shared" si="7"/>
        <v>0.26436752225574534</v>
      </c>
      <c r="J28" s="22">
        <f t="shared" si="8"/>
        <v>1.388296334219795E-2</v>
      </c>
      <c r="K28" s="9">
        <f t="shared" si="9"/>
        <v>0.14557268803304466</v>
      </c>
      <c r="L28" s="9">
        <f t="shared" si="10"/>
        <v>0.34455578928995179</v>
      </c>
      <c r="M28" s="17">
        <f t="shared" si="11"/>
        <v>0.40381220614891772</v>
      </c>
      <c r="N28" s="9">
        <f t="shared" si="12"/>
        <v>3.2420627322880566E-3</v>
      </c>
      <c r="O28" s="9">
        <f t="shared" si="13"/>
        <v>0.16804298284245708</v>
      </c>
      <c r="P28" s="9">
        <f t="shared" si="14"/>
        <v>0.29759748858957108</v>
      </c>
      <c r="Q28" s="9">
        <f t="shared" si="15"/>
        <v>0.35442443197699591</v>
      </c>
      <c r="R28" s="22">
        <f t="shared" si="16"/>
        <v>1.3331213991781797E-3</v>
      </c>
      <c r="S28" s="9">
        <f t="shared" si="17"/>
        <v>3.6758672509803442E-2</v>
      </c>
      <c r="T28" s="9">
        <f t="shared" si="18"/>
        <v>5.6246395647529021E-2</v>
      </c>
      <c r="U28" s="17">
        <f t="shared" si="19"/>
        <v>7.2585586620620993E-2</v>
      </c>
      <c r="V28" s="9"/>
      <c r="W28" s="9"/>
    </row>
    <row r="29" spans="1:23" x14ac:dyDescent="0.2">
      <c r="A29" s="20" t="s">
        <v>42</v>
      </c>
      <c r="B29" s="22">
        <f t="shared" si="20"/>
        <v>4.1731884952475005E-2</v>
      </c>
      <c r="C29" s="9">
        <f t="shared" si="1"/>
        <v>3.2079679270220658E-2</v>
      </c>
      <c r="D29" s="9">
        <f t="shared" si="2"/>
        <v>4.278801045026237E-2</v>
      </c>
      <c r="E29" s="17">
        <f t="shared" si="3"/>
        <v>3.1950530202848E-2</v>
      </c>
      <c r="F29" s="9">
        <f t="shared" si="4"/>
        <v>2.90332729890606E-2</v>
      </c>
      <c r="G29" s="9">
        <f t="shared" si="5"/>
        <v>9.6813622940668281E-2</v>
      </c>
      <c r="H29" s="9">
        <f t="shared" si="6"/>
        <v>0.12960587510713734</v>
      </c>
      <c r="I29" s="9">
        <f t="shared" si="7"/>
        <v>0.16511422457828612</v>
      </c>
      <c r="J29" s="22">
        <f t="shared" si="8"/>
        <v>2.4944181350171367E-2</v>
      </c>
      <c r="K29" s="9">
        <f t="shared" si="9"/>
        <v>6.4152948292802395E-2</v>
      </c>
      <c r="L29" s="9">
        <f t="shared" si="10"/>
        <v>9.3157342858405462E-2</v>
      </c>
      <c r="M29" s="17">
        <f t="shared" si="11"/>
        <v>7.7024087509948436E-2</v>
      </c>
      <c r="N29" s="9">
        <f t="shared" si="12"/>
        <v>2.910741135540601E-2</v>
      </c>
      <c r="O29" s="9">
        <f t="shared" si="13"/>
        <v>8.4906535431170743E-2</v>
      </c>
      <c r="P29" s="9">
        <f t="shared" si="14"/>
        <v>7.2475846263567095E-2</v>
      </c>
      <c r="Q29" s="9">
        <f t="shared" si="15"/>
        <v>6.1074279158392419E-2</v>
      </c>
      <c r="R29" s="22">
        <f t="shared" si="16"/>
        <v>2.5220561343726043E-2</v>
      </c>
      <c r="S29" s="9">
        <f t="shared" si="17"/>
        <v>0.11030770968297091</v>
      </c>
      <c r="T29" s="33">
        <f t="shared" si="18"/>
        <v>0.13072604968227239</v>
      </c>
      <c r="U29" s="17">
        <f t="shared" si="19"/>
        <v>0.13490569721435647</v>
      </c>
      <c r="V29" s="9"/>
      <c r="W29" s="9"/>
    </row>
    <row r="30" spans="1:23" x14ac:dyDescent="0.2">
      <c r="A30" s="20" t="s">
        <v>43</v>
      </c>
      <c r="B30" s="22">
        <f t="shared" si="20"/>
        <v>6.3073341915460173E-3</v>
      </c>
      <c r="C30" s="9">
        <f t="shared" si="1"/>
        <v>9.365787457740896E-3</v>
      </c>
      <c r="D30" s="9">
        <f t="shared" si="2"/>
        <v>1.029283187538196E-2</v>
      </c>
      <c r="E30" s="17">
        <f t="shared" si="3"/>
        <v>5.6883504941155029E-3</v>
      </c>
      <c r="F30" s="9">
        <f t="shared" si="4"/>
        <v>7.1789754934295964E-3</v>
      </c>
      <c r="G30" s="9">
        <f t="shared" si="5"/>
        <v>1.7997060220466151E-2</v>
      </c>
      <c r="H30" s="9">
        <f t="shared" si="6"/>
        <v>8.2532515889111105E-3</v>
      </c>
      <c r="I30" s="33">
        <f t="shared" si="7"/>
        <v>7.0374410760189977E-3</v>
      </c>
      <c r="J30" s="34">
        <f t="shared" si="8"/>
        <v>1.3044103448984204E-2</v>
      </c>
      <c r="K30" s="9">
        <f t="shared" si="9"/>
        <v>8.5846205510244408E-3</v>
      </c>
      <c r="L30" s="9">
        <f t="shared" si="10"/>
        <v>1.2536603305682742E-2</v>
      </c>
      <c r="M30" s="17">
        <f t="shared" si="11"/>
        <v>9.1904833967085351E-3</v>
      </c>
      <c r="N30" s="9">
        <f t="shared" si="12"/>
        <v>7.6118659878546017E-3</v>
      </c>
      <c r="O30" s="9">
        <f t="shared" si="13"/>
        <v>1.0434828183255107E-2</v>
      </c>
      <c r="P30" s="9">
        <f t="shared" si="14"/>
        <v>9.4426719486593817E-3</v>
      </c>
      <c r="Q30" s="9">
        <f t="shared" si="15"/>
        <v>7.4545883032111088E-3</v>
      </c>
      <c r="R30" s="22">
        <f t="shared" si="16"/>
        <v>8.5212214948065211E-3</v>
      </c>
      <c r="S30" s="9">
        <f t="shared" si="17"/>
        <v>1.3275555016041992E-2</v>
      </c>
      <c r="T30" s="9">
        <f t="shared" si="18"/>
        <v>1.1237223151458952E-2</v>
      </c>
      <c r="U30" s="17">
        <f t="shared" si="19"/>
        <v>8.3118010454141678E-3</v>
      </c>
      <c r="V30" s="9"/>
      <c r="W30" s="9"/>
    </row>
    <row r="31" spans="1:23" x14ac:dyDescent="0.2">
      <c r="A31" s="20" t="s">
        <v>44</v>
      </c>
      <c r="B31" s="22">
        <f t="shared" si="20"/>
        <v>6.0105454353078106E-3</v>
      </c>
      <c r="C31" s="9">
        <f t="shared" si="1"/>
        <v>2.391917499275777E-2</v>
      </c>
      <c r="D31" s="9">
        <f t="shared" si="2"/>
        <v>5.9360590555805857E-2</v>
      </c>
      <c r="E31" s="17">
        <f t="shared" si="3"/>
        <v>5.8284737606964343E-2</v>
      </c>
      <c r="F31" s="9">
        <f t="shared" si="4"/>
        <v>4.3012691900178096E-3</v>
      </c>
      <c r="G31" s="9">
        <f t="shared" si="5"/>
        <v>1.3793610240482122E-2</v>
      </c>
      <c r="H31" s="9">
        <f t="shared" si="6"/>
        <v>4.3551667127220611E-2</v>
      </c>
      <c r="I31" s="9">
        <f t="shared" si="7"/>
        <v>0.1325426724751953</v>
      </c>
      <c r="J31" s="22">
        <f t="shared" si="8"/>
        <v>8.0119316808168715E-3</v>
      </c>
      <c r="K31" s="9">
        <f t="shared" si="9"/>
        <v>1.2085594057833854E-2</v>
      </c>
      <c r="L31" s="9">
        <f t="shared" si="10"/>
        <v>1.560132410730646E-2</v>
      </c>
      <c r="M31" s="17">
        <f t="shared" si="11"/>
        <v>1.3978866217212721E-2</v>
      </c>
      <c r="N31" s="33">
        <f t="shared" si="12"/>
        <v>2.9582148800924532E-3</v>
      </c>
      <c r="O31" s="33">
        <f t="shared" si="13"/>
        <v>3.9440027027353129E-3</v>
      </c>
      <c r="P31" s="9">
        <f t="shared" si="14"/>
        <v>5.1406850172734482E-3</v>
      </c>
      <c r="Q31" s="9">
        <f t="shared" si="15"/>
        <v>6.0336401884610539E-3</v>
      </c>
      <c r="R31" s="22">
        <f t="shared" si="16"/>
        <v>2.5162219918992731E-3</v>
      </c>
      <c r="S31" s="9">
        <f t="shared" si="17"/>
        <v>6.7198889967916018E-3</v>
      </c>
      <c r="T31" s="9">
        <f t="shared" si="18"/>
        <v>1.0185611359210119E-2</v>
      </c>
      <c r="U31" s="17">
        <f t="shared" si="19"/>
        <v>8.4599176554248229E-3</v>
      </c>
      <c r="V31" s="9"/>
      <c r="W31" s="9"/>
    </row>
    <row r="32" spans="1:23" x14ac:dyDescent="0.2">
      <c r="A32" s="20" t="s">
        <v>45</v>
      </c>
      <c r="B32" s="22">
        <f t="shared" si="20"/>
        <v>4.1943675383991396E-3</v>
      </c>
      <c r="C32" s="33">
        <f t="shared" si="1"/>
        <v>3.7931477497200276E-3</v>
      </c>
      <c r="D32" s="9">
        <f t="shared" si="2"/>
        <v>5.2353539453903909E-3</v>
      </c>
      <c r="E32" s="17">
        <f t="shared" si="3"/>
        <v>7.3040125489884792E-3</v>
      </c>
      <c r="F32" s="9">
        <f t="shared" si="4"/>
        <v>5.9490892980886192E-3</v>
      </c>
      <c r="G32" s="9">
        <f t="shared" si="5"/>
        <v>5.2001125742038483E-3</v>
      </c>
      <c r="H32" s="9">
        <f t="shared" si="6"/>
        <v>5.5425715771084396E-3</v>
      </c>
      <c r="I32" s="33">
        <f t="shared" si="7"/>
        <v>7.1187634406510679E-3</v>
      </c>
      <c r="J32" s="22">
        <f t="shared" si="8"/>
        <v>4.168424578851645E-3</v>
      </c>
      <c r="K32" s="33">
        <f t="shared" si="9"/>
        <v>6.8038038169377446E-3</v>
      </c>
      <c r="L32" s="9">
        <f t="shared" si="10"/>
        <v>1.044260854982219E-2</v>
      </c>
      <c r="M32" s="17">
        <f t="shared" si="11"/>
        <v>8.8609964823895635E-3</v>
      </c>
      <c r="N32" s="9">
        <f t="shared" si="12"/>
        <v>6.4950279764192055E-3</v>
      </c>
      <c r="O32" s="9">
        <f t="shared" si="13"/>
        <v>6.5762285983180296E-3</v>
      </c>
      <c r="P32" s="9">
        <f t="shared" si="14"/>
        <v>7.4002664659450889E-3</v>
      </c>
      <c r="Q32" s="33">
        <f t="shared" si="15"/>
        <v>8.3857495967159992E-3</v>
      </c>
      <c r="R32" s="22">
        <f t="shared" si="16"/>
        <v>2.313812967314316E-3</v>
      </c>
      <c r="S32" s="9">
        <f t="shared" si="17"/>
        <v>5.6819229492679688E-3</v>
      </c>
      <c r="T32" s="9">
        <f t="shared" si="18"/>
        <v>5.3998387653777097E-3</v>
      </c>
      <c r="U32" s="17">
        <f t="shared" si="19"/>
        <v>5.4226823786664028E-3</v>
      </c>
      <c r="V32" s="9"/>
      <c r="W32" s="9"/>
    </row>
    <row r="33" spans="1:23" x14ac:dyDescent="0.2">
      <c r="A33" s="20" t="s">
        <v>46</v>
      </c>
      <c r="B33" s="35">
        <f t="shared" si="20"/>
        <v>1</v>
      </c>
      <c r="C33" s="9">
        <f t="shared" si="1"/>
        <v>1</v>
      </c>
      <c r="D33" s="9">
        <f t="shared" si="2"/>
        <v>1</v>
      </c>
      <c r="E33" s="17">
        <f t="shared" si="3"/>
        <v>1</v>
      </c>
      <c r="F33" s="9">
        <f t="shared" si="4"/>
        <v>1</v>
      </c>
      <c r="G33" s="9">
        <f t="shared" si="5"/>
        <v>1</v>
      </c>
      <c r="H33" s="36">
        <f t="shared" si="6"/>
        <v>1</v>
      </c>
      <c r="I33" s="9">
        <f t="shared" si="7"/>
        <v>1</v>
      </c>
      <c r="J33" s="22">
        <f t="shared" si="8"/>
        <v>1</v>
      </c>
      <c r="K33" s="36">
        <f t="shared" si="9"/>
        <v>1</v>
      </c>
      <c r="L33" s="9">
        <f t="shared" si="10"/>
        <v>1</v>
      </c>
      <c r="M33" s="17">
        <f t="shared" si="11"/>
        <v>1</v>
      </c>
      <c r="N33" s="9">
        <f t="shared" si="12"/>
        <v>1</v>
      </c>
      <c r="O33" s="9">
        <f t="shared" si="13"/>
        <v>1</v>
      </c>
      <c r="P33" s="9">
        <f t="shared" si="14"/>
        <v>1</v>
      </c>
      <c r="Q33" s="9">
        <f t="shared" si="15"/>
        <v>1</v>
      </c>
      <c r="R33" s="22">
        <f t="shared" si="16"/>
        <v>1</v>
      </c>
      <c r="S33" s="9">
        <f t="shared" si="17"/>
        <v>1</v>
      </c>
      <c r="T33" s="9">
        <f t="shared" si="18"/>
        <v>1</v>
      </c>
      <c r="U33" s="17">
        <f t="shared" si="19"/>
        <v>1</v>
      </c>
      <c r="V33" s="9"/>
      <c r="W33" s="9"/>
    </row>
    <row r="34" spans="1:23" x14ac:dyDescent="0.2">
      <c r="A34" s="20" t="s">
        <v>47</v>
      </c>
      <c r="B34" s="22">
        <f t="shared" si="20"/>
        <v>0.10411324880526214</v>
      </c>
      <c r="C34" s="9">
        <f t="shared" si="1"/>
        <v>0.14928509188202049</v>
      </c>
      <c r="D34" s="9">
        <f t="shared" si="2"/>
        <v>0.22044748921591806</v>
      </c>
      <c r="E34" s="17">
        <f t="shared" si="3"/>
        <v>0.17510410482528599</v>
      </c>
      <c r="F34" s="9">
        <f t="shared" si="4"/>
        <v>0.11213782409726177</v>
      </c>
      <c r="G34" s="9">
        <f t="shared" si="5"/>
        <v>0.1596426096054728</v>
      </c>
      <c r="H34" s="9">
        <f t="shared" si="6"/>
        <v>0.15690339139435439</v>
      </c>
      <c r="I34" s="9">
        <f t="shared" si="7"/>
        <v>0.18396322969455578</v>
      </c>
      <c r="J34" s="22">
        <f t="shared" si="8"/>
        <v>0.10861981376401787</v>
      </c>
      <c r="K34" s="9">
        <f t="shared" si="9"/>
        <v>9.4682783581040847E-3</v>
      </c>
      <c r="L34" s="9">
        <f t="shared" si="10"/>
        <v>1.1961563686192559E-2</v>
      </c>
      <c r="M34" s="17">
        <f t="shared" si="11"/>
        <v>9.7210664793962454E-3</v>
      </c>
      <c r="N34" s="33">
        <f t="shared" si="12"/>
        <v>0.11293663364480726</v>
      </c>
      <c r="O34" s="33">
        <f t="shared" si="13"/>
        <v>0.15631881266665862</v>
      </c>
      <c r="P34" s="9">
        <f t="shared" si="14"/>
        <v>0.15371374561028275</v>
      </c>
      <c r="Q34" s="9">
        <f t="shared" si="15"/>
        <v>0.14783121810950692</v>
      </c>
      <c r="R34" s="22">
        <f t="shared" si="16"/>
        <v>9.6278829147137673E-2</v>
      </c>
      <c r="S34" s="9">
        <f t="shared" si="17"/>
        <v>0.15817899574672092</v>
      </c>
      <c r="T34" s="9">
        <f t="shared" si="18"/>
        <v>0.15636828872151987</v>
      </c>
      <c r="U34" s="17">
        <f t="shared" si="19"/>
        <v>0.15037778183268116</v>
      </c>
      <c r="V34" s="9"/>
      <c r="W34" s="9"/>
    </row>
    <row r="35" spans="1:23" x14ac:dyDescent="0.2">
      <c r="A35" s="20" t="s">
        <v>48</v>
      </c>
      <c r="B35" s="34">
        <f t="shared" si="20"/>
        <v>3.640644012203079E-3</v>
      </c>
      <c r="C35" s="9">
        <f t="shared" si="1"/>
        <v>7.3123065826842448E-3</v>
      </c>
      <c r="D35" s="9">
        <f t="shared" si="2"/>
        <v>2.1120221138733629E-3</v>
      </c>
      <c r="E35" s="17">
        <f t="shared" si="3"/>
        <v>2.6486715024444398E-3</v>
      </c>
      <c r="F35" s="33">
        <f t="shared" si="4"/>
        <v>3.3252406011426532E-3</v>
      </c>
      <c r="G35" s="9">
        <f t="shared" si="5"/>
        <v>6.2569865932433546E-3</v>
      </c>
      <c r="H35" s="9">
        <f t="shared" si="6"/>
        <v>3.4493773154544729E-3</v>
      </c>
      <c r="I35" s="9">
        <f t="shared" si="7"/>
        <v>2.0788145236926873E-3</v>
      </c>
      <c r="J35" s="22">
        <f t="shared" si="8"/>
        <v>2.5949944141846525E-3</v>
      </c>
      <c r="K35" s="9">
        <f t="shared" si="9"/>
        <v>2.0781456230795369E-2</v>
      </c>
      <c r="L35" s="9">
        <f t="shared" si="10"/>
        <v>3.4463548127580397E-3</v>
      </c>
      <c r="M35" s="17">
        <f t="shared" si="11"/>
        <v>5.3104558537485106E-3</v>
      </c>
      <c r="N35" s="9">
        <f t="shared" si="12"/>
        <v>2.5353121838630199E-3</v>
      </c>
      <c r="O35" s="9">
        <f t="shared" si="13"/>
        <v>1.1902706053403154E-2</v>
      </c>
      <c r="P35" s="9">
        <f t="shared" si="14"/>
        <v>9.4527348619935468E-3</v>
      </c>
      <c r="Q35" s="9">
        <f t="shared" si="15"/>
        <v>1.4805044384076173E-2</v>
      </c>
      <c r="R35" s="22">
        <f t="shared" si="16"/>
        <v>2.0463155505098824E-3</v>
      </c>
      <c r="S35" s="9">
        <f t="shared" si="17"/>
        <v>2.1676472667150181E-2</v>
      </c>
      <c r="T35" s="9">
        <f t="shared" si="18"/>
        <v>2.9078943933880659E-3</v>
      </c>
      <c r="U35" s="17">
        <f t="shared" si="19"/>
        <v>3.2867244715672427E-3</v>
      </c>
      <c r="V35" s="9"/>
      <c r="W35" s="9"/>
    </row>
    <row r="36" spans="1:23" x14ac:dyDescent="0.2">
      <c r="A36" s="26" t="s">
        <v>49</v>
      </c>
      <c r="B36" s="27">
        <f t="shared" si="20"/>
        <v>4.5870880138254534E-3</v>
      </c>
      <c r="C36" s="28">
        <f t="shared" si="1"/>
        <v>7.1149043652312472E-3</v>
      </c>
      <c r="D36" s="28">
        <f t="shared" si="2"/>
        <v>7.6168851735043917E-3</v>
      </c>
      <c r="E36" s="29">
        <f t="shared" si="3"/>
        <v>5.9817898551563472E-3</v>
      </c>
      <c r="F36" s="28">
        <f t="shared" si="4"/>
        <v>4.1901207244841249E-3</v>
      </c>
      <c r="G36" s="28">
        <f t="shared" si="5"/>
        <v>5.0673781233233862E-3</v>
      </c>
      <c r="H36" s="28">
        <f t="shared" si="6"/>
        <v>4.4408016448801236E-3</v>
      </c>
      <c r="I36" s="28">
        <f t="shared" si="7"/>
        <v>4.9664068241134333E-3</v>
      </c>
      <c r="J36" s="27">
        <f t="shared" si="8"/>
        <v>4.357054481846495E-3</v>
      </c>
      <c r="K36" s="28">
        <f t="shared" si="9"/>
        <v>5.0975284773798245E-3</v>
      </c>
      <c r="L36" s="28">
        <f t="shared" si="10"/>
        <v>7.0232491661463264E-3</v>
      </c>
      <c r="M36" s="29">
        <f t="shared" si="11"/>
        <v>5.3343209924049655E-3</v>
      </c>
      <c r="N36" s="28">
        <f t="shared" si="12"/>
        <v>4.2605868649980214E-3</v>
      </c>
      <c r="O36" s="28">
        <f t="shared" si="13"/>
        <v>5.3658797765417056E-3</v>
      </c>
      <c r="P36" s="28">
        <f t="shared" si="14"/>
        <v>5.5347852958514817E-3</v>
      </c>
      <c r="Q36" s="28">
        <f t="shared" si="15"/>
        <v>4.2644885372345774E-3</v>
      </c>
      <c r="R36" s="37">
        <f t="shared" si="16"/>
        <v>3.5570409467503531E-3</v>
      </c>
      <c r="S36" s="28">
        <f t="shared" si="17"/>
        <v>4.8239299192368683E-3</v>
      </c>
      <c r="T36" s="28">
        <f t="shared" si="18"/>
        <v>5.4390864197669964E-3</v>
      </c>
      <c r="U36" s="29">
        <f t="shared" si="19"/>
        <v>4.8611908950898872E-3</v>
      </c>
      <c r="V36" s="9"/>
      <c r="W36" s="9"/>
    </row>
    <row r="37" spans="1:23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 spans="1:23" x14ac:dyDescent="0.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 spans="1:23" ht="16" x14ac:dyDescent="0.2">
      <c r="A39" s="9"/>
      <c r="B39" s="124" t="s">
        <v>51</v>
      </c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9"/>
      <c r="W39" s="9"/>
    </row>
    <row r="40" spans="1:23" ht="16" x14ac:dyDescent="0.2">
      <c r="A40" s="9"/>
      <c r="B40" s="13" t="str">
        <f t="shared" ref="B40:U40" si="21">B10</f>
        <v>A_0h</v>
      </c>
      <c r="C40" s="13" t="str">
        <f t="shared" si="21"/>
        <v>A_12h</v>
      </c>
      <c r="D40" s="13" t="str">
        <f t="shared" si="21"/>
        <v>A_24h</v>
      </c>
      <c r="E40" s="13" t="str">
        <f t="shared" si="21"/>
        <v>A_48h</v>
      </c>
      <c r="F40" s="13" t="str">
        <f t="shared" si="21"/>
        <v>B_0h</v>
      </c>
      <c r="G40" s="13" t="str">
        <f t="shared" si="21"/>
        <v>B_12h</v>
      </c>
      <c r="H40" s="13" t="str">
        <f t="shared" si="21"/>
        <v>B_24h</v>
      </c>
      <c r="I40" s="13" t="str">
        <f t="shared" si="21"/>
        <v>B_48h</v>
      </c>
      <c r="J40" s="13" t="str">
        <f t="shared" si="21"/>
        <v>C_0h</v>
      </c>
      <c r="K40" s="13" t="str">
        <f t="shared" si="21"/>
        <v>C_12h</v>
      </c>
      <c r="L40" s="13" t="str">
        <f t="shared" si="21"/>
        <v>C_24h</v>
      </c>
      <c r="M40" s="13" t="str">
        <f t="shared" si="21"/>
        <v>C_48h</v>
      </c>
      <c r="N40" s="13" t="str">
        <f t="shared" si="21"/>
        <v>D_0h</v>
      </c>
      <c r="O40" s="13" t="str">
        <f t="shared" si="21"/>
        <v>D_12h</v>
      </c>
      <c r="P40" s="13" t="str">
        <f t="shared" si="21"/>
        <v>D_24h</v>
      </c>
      <c r="Q40" s="13" t="str">
        <f t="shared" si="21"/>
        <v>D_48h</v>
      </c>
      <c r="R40" s="13" t="str">
        <f t="shared" si="21"/>
        <v>E_0h</v>
      </c>
      <c r="S40" s="13" t="str">
        <f t="shared" si="21"/>
        <v>E_12h</v>
      </c>
      <c r="T40" s="13" t="str">
        <f t="shared" si="21"/>
        <v>E_24h</v>
      </c>
      <c r="U40" s="13" t="str">
        <f t="shared" si="21"/>
        <v>E_48h</v>
      </c>
      <c r="V40" s="9"/>
      <c r="W40" s="9"/>
    </row>
    <row r="41" spans="1:23" x14ac:dyDescent="0.2">
      <c r="A41" s="15" t="s">
        <v>39</v>
      </c>
      <c r="B41" s="38">
        <f>(B26-$E53)/$C53</f>
        <v>4.1839381969304208</v>
      </c>
      <c r="C41" s="39">
        <f t="shared" ref="C41:U41" si="22">(C26-$E53)/$C53</f>
        <v>34.939826005868973</v>
      </c>
      <c r="D41" s="39">
        <f t="shared" si="22"/>
        <v>104.87915182404593</v>
      </c>
      <c r="E41" s="40">
        <f t="shared" si="22"/>
        <v>144.81220951202889</v>
      </c>
      <c r="F41" s="39">
        <f t="shared" si="22"/>
        <v>4.4343037260873164</v>
      </c>
      <c r="G41" s="39">
        <f t="shared" si="22"/>
        <v>40.130270543589894</v>
      </c>
      <c r="H41" s="39">
        <f t="shared" si="22"/>
        <v>44.692825740438046</v>
      </c>
      <c r="I41" s="40">
        <f t="shared" si="22"/>
        <v>11.826746391605655</v>
      </c>
      <c r="J41" s="39">
        <f t="shared" si="22"/>
        <v>3.3554685860873086</v>
      </c>
      <c r="K41" s="39">
        <f t="shared" si="22"/>
        <v>66.871085565259676</v>
      </c>
      <c r="L41" s="39">
        <f t="shared" si="22"/>
        <v>164.57217782152108</v>
      </c>
      <c r="M41" s="40">
        <f t="shared" si="22"/>
        <v>181.50645665056871</v>
      </c>
      <c r="N41" s="38">
        <f t="shared" si="22"/>
        <v>4.015036003685772</v>
      </c>
      <c r="O41" s="39">
        <f t="shared" si="22"/>
        <v>87.185201803566372</v>
      </c>
      <c r="P41" s="39">
        <f t="shared" si="22"/>
        <v>143.8370318402369</v>
      </c>
      <c r="Q41" s="40">
        <f t="shared" si="22"/>
        <v>178.27563570894861</v>
      </c>
      <c r="R41" s="39">
        <f t="shared" si="22"/>
        <v>3.3190178944350506</v>
      </c>
      <c r="S41" s="39">
        <f t="shared" si="22"/>
        <v>74.626685809154253</v>
      </c>
      <c r="T41" s="39">
        <f t="shared" si="22"/>
        <v>143.86353394956535</v>
      </c>
      <c r="U41" s="40">
        <f t="shared" si="22"/>
        <v>189.84947395554744</v>
      </c>
      <c r="V41" s="9"/>
      <c r="W41" s="9"/>
    </row>
    <row r="42" spans="1:23" x14ac:dyDescent="0.2">
      <c r="A42" s="20" t="s">
        <v>40</v>
      </c>
      <c r="B42" s="41">
        <f t="shared" ref="B42:U47" si="23">(B27-$E54)/$C54</f>
        <v>3.6237766060627439</v>
      </c>
      <c r="C42" s="42">
        <f t="shared" si="23"/>
        <v>9.0890644596422252</v>
      </c>
      <c r="D42" s="42">
        <f t="shared" si="23"/>
        <v>10.196922131568032</v>
      </c>
      <c r="E42" s="43">
        <f t="shared" si="23"/>
        <v>7.2845830781586862</v>
      </c>
      <c r="F42" s="42">
        <f t="shared" si="23"/>
        <v>3.0475958508493455</v>
      </c>
      <c r="G42" s="42">
        <f t="shared" si="23"/>
        <v>7.405702336132749</v>
      </c>
      <c r="H42" s="42">
        <f t="shared" si="23"/>
        <v>7.6620002404247725</v>
      </c>
      <c r="I42" s="43">
        <f t="shared" si="23"/>
        <v>8.7103063963652065</v>
      </c>
      <c r="J42" s="42">
        <f t="shared" si="23"/>
        <v>2.4314691431764826</v>
      </c>
      <c r="K42" s="42">
        <f t="shared" si="23"/>
        <v>7.1811016140557191</v>
      </c>
      <c r="L42" s="42">
        <f t="shared" si="23"/>
        <v>2.034968572204976</v>
      </c>
      <c r="M42" s="43">
        <f t="shared" si="23"/>
        <v>8.3617942686913693</v>
      </c>
      <c r="N42" s="41">
        <f t="shared" si="23"/>
        <v>2.830786002883491</v>
      </c>
      <c r="O42" s="42">
        <f t="shared" si="23"/>
        <v>0.8335362521467039</v>
      </c>
      <c r="P42" s="42">
        <f t="shared" si="23"/>
        <v>7.0108781312889414</v>
      </c>
      <c r="Q42" s="43">
        <f t="shared" si="23"/>
        <v>7.5186777278227312</v>
      </c>
      <c r="R42" s="42">
        <f t="shared" si="23"/>
        <v>2.4776550689602916</v>
      </c>
      <c r="S42" s="42">
        <f t="shared" si="23"/>
        <v>6.9508600674255376</v>
      </c>
      <c r="T42" s="42">
        <f t="shared" si="23"/>
        <v>7.8965070025765121</v>
      </c>
      <c r="U42" s="43">
        <f t="shared" si="23"/>
        <v>8.349471035349497</v>
      </c>
      <c r="V42" s="9"/>
      <c r="W42" s="9"/>
    </row>
    <row r="43" spans="1:23" x14ac:dyDescent="0.2">
      <c r="A43" s="20" t="s">
        <v>41</v>
      </c>
      <c r="B43" s="41">
        <f t="shared" si="23"/>
        <v>4.1904814155154088E-3</v>
      </c>
      <c r="C43" s="42">
        <f t="shared" si="23"/>
        <v>24.388012754777261</v>
      </c>
      <c r="D43" s="42">
        <f t="shared" si="23"/>
        <v>71.771744628666141</v>
      </c>
      <c r="E43" s="43">
        <f t="shared" si="23"/>
        <v>115.02158607557652</v>
      </c>
      <c r="F43" s="42">
        <f t="shared" si="23"/>
        <v>1.2239078904556329</v>
      </c>
      <c r="G43" s="42">
        <f t="shared" si="23"/>
        <v>23.000392453663864</v>
      </c>
      <c r="H43" s="42">
        <f t="shared" si="23"/>
        <v>56.91278773563058</v>
      </c>
      <c r="I43" s="43">
        <f t="shared" si="23"/>
        <v>97.469452687313094</v>
      </c>
      <c r="J43" s="42">
        <f t="shared" si="23"/>
        <v>4.6973938304436853</v>
      </c>
      <c r="K43" s="42">
        <f t="shared" si="23"/>
        <v>53.471365938164681</v>
      </c>
      <c r="L43" s="42">
        <f t="shared" si="23"/>
        <v>127.16881084813029</v>
      </c>
      <c r="M43" s="43">
        <f t="shared" si="23"/>
        <v>149.11563190700656</v>
      </c>
      <c r="N43" s="41">
        <f t="shared" si="23"/>
        <v>0.75631953047705791</v>
      </c>
      <c r="O43" s="42">
        <f t="shared" si="23"/>
        <v>61.793697349058171</v>
      </c>
      <c r="P43" s="42">
        <f t="shared" si="23"/>
        <v>109.77684762576708</v>
      </c>
      <c r="Q43" s="43">
        <f t="shared" si="23"/>
        <v>130.82386369518366</v>
      </c>
      <c r="R43" s="42">
        <f t="shared" si="23"/>
        <v>4.9304221917844372E-2</v>
      </c>
      <c r="S43" s="42">
        <f t="shared" si="23"/>
        <v>13.169878707334608</v>
      </c>
      <c r="T43" s="42">
        <f t="shared" si="23"/>
        <v>20.387553943529266</v>
      </c>
      <c r="U43" s="43">
        <f t="shared" si="23"/>
        <v>26.439106155785549</v>
      </c>
      <c r="V43" s="9"/>
      <c r="W43" s="9"/>
    </row>
    <row r="44" spans="1:23" x14ac:dyDescent="0.2">
      <c r="A44" s="20" t="s">
        <v>42</v>
      </c>
      <c r="B44" s="41">
        <f t="shared" si="23"/>
        <v>15.641438871287038</v>
      </c>
      <c r="C44" s="42">
        <f t="shared" si="23"/>
        <v>12.066547877859502</v>
      </c>
      <c r="D44" s="42">
        <f t="shared" si="23"/>
        <v>16.032596463060138</v>
      </c>
      <c r="E44" s="43">
        <f t="shared" si="23"/>
        <v>12.018714889943704</v>
      </c>
      <c r="F44" s="42">
        <f t="shared" si="23"/>
        <v>10.938249255207628</v>
      </c>
      <c r="G44" s="42">
        <f t="shared" si="23"/>
        <v>36.042082570617879</v>
      </c>
      <c r="H44" s="42">
        <f t="shared" si="23"/>
        <v>48.187361150791602</v>
      </c>
      <c r="I44" s="43">
        <f t="shared" si="23"/>
        <v>61.338601695661524</v>
      </c>
      <c r="J44" s="42">
        <f t="shared" si="23"/>
        <v>9.4237708704338399</v>
      </c>
      <c r="K44" s="42">
        <f t="shared" si="23"/>
        <v>23.945536404741627</v>
      </c>
      <c r="L44" s="42">
        <f t="shared" si="23"/>
        <v>34.687904762372391</v>
      </c>
      <c r="M44" s="43">
        <f t="shared" si="23"/>
        <v>28.712625003684604</v>
      </c>
      <c r="N44" s="41">
        <f t="shared" si="23"/>
        <v>10.965707909409632</v>
      </c>
      <c r="O44" s="42">
        <f t="shared" si="23"/>
        <v>31.632050159692866</v>
      </c>
      <c r="P44" s="42">
        <f t="shared" si="23"/>
        <v>27.028091208728554</v>
      </c>
      <c r="Q44" s="43">
        <f t="shared" si="23"/>
        <v>22.805288577182377</v>
      </c>
      <c r="R44" s="42">
        <f t="shared" si="23"/>
        <v>9.5261338310096448</v>
      </c>
      <c r="S44" s="42">
        <f t="shared" si="23"/>
        <v>41.039892475174405</v>
      </c>
      <c r="T44" s="42">
        <f t="shared" si="23"/>
        <v>48.602240623063842</v>
      </c>
      <c r="U44" s="43">
        <f t="shared" si="23"/>
        <v>50.150258227539432</v>
      </c>
      <c r="V44" s="9"/>
      <c r="W44" s="9"/>
    </row>
    <row r="45" spans="1:23" x14ac:dyDescent="0.2">
      <c r="A45" s="20" t="s">
        <v>43</v>
      </c>
      <c r="B45" s="41">
        <f t="shared" si="23"/>
        <v>1.029815053207227</v>
      </c>
      <c r="C45" s="42">
        <f t="shared" si="23"/>
        <v>1.8793854049280267</v>
      </c>
      <c r="D45" s="42">
        <f t="shared" si="23"/>
        <v>2.1368977431616556</v>
      </c>
      <c r="E45" s="43">
        <f t="shared" si="23"/>
        <v>0.85787513725430642</v>
      </c>
      <c r="F45" s="42">
        <f t="shared" si="23"/>
        <v>1.2719376370637769</v>
      </c>
      <c r="G45" s="42">
        <f t="shared" si="23"/>
        <v>4.2769611723517089</v>
      </c>
      <c r="H45" s="42">
        <f t="shared" si="23"/>
        <v>1.5703476635864198</v>
      </c>
      <c r="I45" s="43">
        <f t="shared" si="23"/>
        <v>1.2326225211163884</v>
      </c>
      <c r="J45" s="42">
        <f t="shared" si="23"/>
        <v>2.9011398469400564</v>
      </c>
      <c r="K45" s="42">
        <f t="shared" si="23"/>
        <v>1.6623945975067891</v>
      </c>
      <c r="L45" s="42">
        <f t="shared" si="23"/>
        <v>2.7601675849118728</v>
      </c>
      <c r="M45" s="43">
        <f t="shared" si="23"/>
        <v>1.8306898324190377</v>
      </c>
      <c r="N45" s="41">
        <f t="shared" si="23"/>
        <v>1.3921849966262783</v>
      </c>
      <c r="O45" s="42">
        <f t="shared" si="23"/>
        <v>2.1763411620153077</v>
      </c>
      <c r="P45" s="42">
        <f t="shared" si="23"/>
        <v>1.9007422079609395</v>
      </c>
      <c r="Q45" s="43">
        <f t="shared" si="23"/>
        <v>1.3484967508919747</v>
      </c>
      <c r="R45" s="42">
        <f t="shared" si="23"/>
        <v>1.6447837485573671</v>
      </c>
      <c r="S45" s="42">
        <f t="shared" si="23"/>
        <v>2.9654319489005534</v>
      </c>
      <c r="T45" s="42">
        <f t="shared" si="23"/>
        <v>2.3992286531830422</v>
      </c>
      <c r="U45" s="43">
        <f t="shared" si="23"/>
        <v>1.5866114015039356</v>
      </c>
      <c r="V45" s="9"/>
      <c r="W45" s="9"/>
    </row>
    <row r="46" spans="1:23" x14ac:dyDescent="0.2">
      <c r="A46" s="20" t="s">
        <v>44</v>
      </c>
      <c r="B46" s="41">
        <f t="shared" si="23"/>
        <v>2.2261279390028927</v>
      </c>
      <c r="C46" s="42">
        <f t="shared" si="23"/>
        <v>8.8589537010213952</v>
      </c>
      <c r="D46" s="42">
        <f t="shared" si="23"/>
        <v>21.985403909557725</v>
      </c>
      <c r="E46" s="43">
        <f t="shared" si="23"/>
        <v>21.586939854431236</v>
      </c>
      <c r="F46" s="42">
        <f t="shared" si="23"/>
        <v>1.593062662969559</v>
      </c>
      <c r="G46" s="42">
        <f t="shared" si="23"/>
        <v>5.1087445335118966</v>
      </c>
      <c r="H46" s="42">
        <f t="shared" si="23"/>
        <v>16.13024708415578</v>
      </c>
      <c r="I46" s="43">
        <f t="shared" si="23"/>
        <v>49.089878694516777</v>
      </c>
      <c r="J46" s="42">
        <f t="shared" si="23"/>
        <v>2.9673821040062487</v>
      </c>
      <c r="K46" s="42">
        <f t="shared" si="23"/>
        <v>4.4761459473458718</v>
      </c>
      <c r="L46" s="42">
        <f t="shared" si="23"/>
        <v>5.7782681878912809</v>
      </c>
      <c r="M46" s="43">
        <f t="shared" si="23"/>
        <v>5.1773578582269337</v>
      </c>
      <c r="N46" s="41">
        <f t="shared" si="23"/>
        <v>1.0956351407749827</v>
      </c>
      <c r="O46" s="42">
        <f t="shared" si="23"/>
        <v>1.4607417417538195</v>
      </c>
      <c r="P46" s="42">
        <f t="shared" si="23"/>
        <v>1.9039574138049806</v>
      </c>
      <c r="Q46" s="43">
        <f t="shared" si="23"/>
        <v>2.2346815512818718</v>
      </c>
      <c r="R46" s="42">
        <f t="shared" si="23"/>
        <v>0.93193407107380477</v>
      </c>
      <c r="S46" s="42">
        <f t="shared" si="23"/>
        <v>2.4888477765894819</v>
      </c>
      <c r="T46" s="42">
        <f t="shared" si="23"/>
        <v>3.7724486515593032</v>
      </c>
      <c r="U46" s="43">
        <f t="shared" si="23"/>
        <v>3.1333028353425267</v>
      </c>
      <c r="V46" s="9"/>
      <c r="W46" s="9"/>
    </row>
    <row r="47" spans="1:23" x14ac:dyDescent="0.2">
      <c r="A47" s="20" t="s">
        <v>45</v>
      </c>
      <c r="B47" s="41">
        <f t="shared" si="23"/>
        <v>3.2286028993842844</v>
      </c>
      <c r="C47" s="42">
        <f t="shared" si="23"/>
        <v>3.0742875960461649</v>
      </c>
      <c r="D47" s="42">
        <f t="shared" si="23"/>
        <v>3.6289822866886121</v>
      </c>
      <c r="E47" s="43">
        <f t="shared" si="23"/>
        <v>4.4246202111494153</v>
      </c>
      <c r="F47" s="42">
        <f t="shared" si="23"/>
        <v>3.9034958838802387</v>
      </c>
      <c r="G47" s="42">
        <f t="shared" si="23"/>
        <v>3.6154279131553264</v>
      </c>
      <c r="H47" s="42">
        <f t="shared" si="23"/>
        <v>3.747142914272477</v>
      </c>
      <c r="I47" s="43">
        <f t="shared" si="23"/>
        <v>4.3533705540965641</v>
      </c>
      <c r="J47" s="42">
        <f t="shared" si="23"/>
        <v>3.2186248380198634</v>
      </c>
      <c r="K47" s="42">
        <f t="shared" si="23"/>
        <v>4.232232237283748</v>
      </c>
      <c r="L47" s="42">
        <f t="shared" si="23"/>
        <v>5.6317725191623804</v>
      </c>
      <c r="M47" s="43">
        <f t="shared" si="23"/>
        <v>5.0234601855344483</v>
      </c>
      <c r="N47" s="41">
        <f t="shared" si="23"/>
        <v>4.1134722986227716</v>
      </c>
      <c r="O47" s="42">
        <f t="shared" si="23"/>
        <v>4.144703307045396</v>
      </c>
      <c r="P47" s="42">
        <f t="shared" si="23"/>
        <v>4.4616409484404196</v>
      </c>
      <c r="Q47" s="43">
        <f t="shared" si="23"/>
        <v>4.8406729218138462</v>
      </c>
      <c r="R47" s="42">
        <f t="shared" si="23"/>
        <v>2.5053126797362757</v>
      </c>
      <c r="S47" s="42">
        <f t="shared" si="23"/>
        <v>3.8007395958722956</v>
      </c>
      <c r="T47" s="42">
        <f t="shared" si="23"/>
        <v>3.6922456789914264</v>
      </c>
      <c r="U47" s="43">
        <f t="shared" si="23"/>
        <v>3.7010316841024626</v>
      </c>
      <c r="V47" s="9"/>
      <c r="W47" s="9"/>
    </row>
    <row r="48" spans="1:23" x14ac:dyDescent="0.2">
      <c r="A48" s="20" t="s">
        <v>47</v>
      </c>
      <c r="B48" s="41">
        <f t="shared" ref="B48:U50" si="24">(B34-$E60)/$C60</f>
        <v>42.005299522104856</v>
      </c>
      <c r="C48" s="42">
        <f t="shared" si="24"/>
        <v>60.074036752808198</v>
      </c>
      <c r="D48" s="42">
        <f t="shared" si="24"/>
        <v>88.53899568636723</v>
      </c>
      <c r="E48" s="43">
        <f t="shared" si="24"/>
        <v>70.401641930114394</v>
      </c>
      <c r="F48" s="42">
        <f t="shared" si="24"/>
        <v>45.215129638904706</v>
      </c>
      <c r="G48" s="42">
        <f t="shared" si="24"/>
        <v>64.217043842189128</v>
      </c>
      <c r="H48" s="42">
        <f t="shared" si="24"/>
        <v>63.121356557741755</v>
      </c>
      <c r="I48" s="43">
        <f t="shared" si="24"/>
        <v>73.945291877822314</v>
      </c>
      <c r="J48" s="42">
        <f t="shared" si="24"/>
        <v>43.807925505607145</v>
      </c>
      <c r="K48" s="42">
        <f t="shared" si="24"/>
        <v>4.1473113432416335</v>
      </c>
      <c r="L48" s="42">
        <f t="shared" si="24"/>
        <v>5.1446254744770235</v>
      </c>
      <c r="M48" s="43">
        <f t="shared" si="24"/>
        <v>4.2484265917584976</v>
      </c>
      <c r="N48" s="41">
        <f t="shared" si="24"/>
        <v>45.5346534579229</v>
      </c>
      <c r="O48" s="42">
        <f t="shared" si="24"/>
        <v>62.88752506666345</v>
      </c>
      <c r="P48" s="42">
        <f t="shared" si="24"/>
        <v>61.845498244113102</v>
      </c>
      <c r="Q48" s="43">
        <f t="shared" si="24"/>
        <v>59.492487243802771</v>
      </c>
      <c r="R48" s="42">
        <f t="shared" si="24"/>
        <v>38.871531658855069</v>
      </c>
      <c r="S48" s="42">
        <f t="shared" si="24"/>
        <v>63.631598298688374</v>
      </c>
      <c r="T48" s="42">
        <f t="shared" si="24"/>
        <v>62.907315488607949</v>
      </c>
      <c r="U48" s="43">
        <f t="shared" si="24"/>
        <v>60.511112733072466</v>
      </c>
      <c r="V48" s="9"/>
      <c r="W48" s="9"/>
    </row>
    <row r="49" spans="1:23" x14ac:dyDescent="0.2">
      <c r="A49" s="20" t="s">
        <v>48</v>
      </c>
      <c r="B49" s="41">
        <f t="shared" si="24"/>
        <v>1.8002800053056867</v>
      </c>
      <c r="C49" s="42">
        <f t="shared" si="24"/>
        <v>3.3966550359496717</v>
      </c>
      <c r="D49" s="42">
        <f t="shared" si="24"/>
        <v>1.1356617886405926</v>
      </c>
      <c r="E49" s="43">
        <f t="shared" si="24"/>
        <v>1.3689876097584521</v>
      </c>
      <c r="F49" s="42">
        <f t="shared" si="24"/>
        <v>1.6631480874533275</v>
      </c>
      <c r="G49" s="42">
        <f t="shared" si="24"/>
        <v>2.9378202579318935</v>
      </c>
      <c r="H49" s="42">
        <f t="shared" si="24"/>
        <v>1.7171205719367273</v>
      </c>
      <c r="I49" s="43">
        <f t="shared" si="24"/>
        <v>1.1212237059533423</v>
      </c>
      <c r="J49" s="42">
        <f t="shared" si="24"/>
        <v>1.345649745297675</v>
      </c>
      <c r="K49" s="42">
        <f t="shared" si="24"/>
        <v>9.2528070568675513</v>
      </c>
      <c r="L49" s="42">
        <f t="shared" si="24"/>
        <v>1.7158064403295825</v>
      </c>
      <c r="M49" s="43">
        <f t="shared" si="24"/>
        <v>2.5262851538037001</v>
      </c>
      <c r="N49" s="41">
        <f t="shared" si="24"/>
        <v>1.3197009495056609</v>
      </c>
      <c r="O49" s="42">
        <f t="shared" si="24"/>
        <v>5.39248089278398</v>
      </c>
      <c r="P49" s="42">
        <f t="shared" si="24"/>
        <v>4.327276026953716</v>
      </c>
      <c r="Q49" s="43">
        <f t="shared" si="24"/>
        <v>6.6543671235113804</v>
      </c>
      <c r="R49" s="42">
        <f t="shared" si="24"/>
        <v>1.1070937176129925</v>
      </c>
      <c r="S49" s="42">
        <f t="shared" si="24"/>
        <v>9.6419446378913829</v>
      </c>
      <c r="T49" s="42">
        <f t="shared" si="24"/>
        <v>1.4816932145165504</v>
      </c>
      <c r="U49" s="43">
        <f t="shared" si="24"/>
        <v>1.6464019441596707</v>
      </c>
      <c r="V49" s="9"/>
      <c r="W49" s="9"/>
    </row>
    <row r="50" spans="1:23" x14ac:dyDescent="0.2">
      <c r="A50" s="26" t="s">
        <v>49</v>
      </c>
      <c r="B50" s="44">
        <f t="shared" si="24"/>
        <v>1.9948352055301815</v>
      </c>
      <c r="C50" s="45">
        <f t="shared" si="24"/>
        <v>3.005961746092499</v>
      </c>
      <c r="D50" s="45">
        <f t="shared" si="24"/>
        <v>3.2067540694017564</v>
      </c>
      <c r="E50" s="46">
        <f t="shared" si="24"/>
        <v>2.5527159420625387</v>
      </c>
      <c r="F50" s="45">
        <f t="shared" si="24"/>
        <v>1.8360482897936501</v>
      </c>
      <c r="G50" s="45">
        <f t="shared" si="24"/>
        <v>2.1869512493293546</v>
      </c>
      <c r="H50" s="45">
        <f t="shared" si="24"/>
        <v>1.9363206579520496</v>
      </c>
      <c r="I50" s="46">
        <f t="shared" si="24"/>
        <v>2.1465627296453733</v>
      </c>
      <c r="J50" s="45">
        <f t="shared" si="24"/>
        <v>1.902821792738598</v>
      </c>
      <c r="K50" s="45">
        <f t="shared" si="24"/>
        <v>2.19901139095193</v>
      </c>
      <c r="L50" s="45">
        <f t="shared" si="24"/>
        <v>2.9692996664585305</v>
      </c>
      <c r="M50" s="46">
        <f t="shared" si="24"/>
        <v>2.2937283969619862</v>
      </c>
      <c r="N50" s="44">
        <f t="shared" si="24"/>
        <v>1.8642347459992086</v>
      </c>
      <c r="O50" s="45">
        <f t="shared" si="24"/>
        <v>2.3063519106166823</v>
      </c>
      <c r="P50" s="45">
        <f t="shared" si="24"/>
        <v>2.3739141183405925</v>
      </c>
      <c r="Q50" s="46">
        <f t="shared" si="24"/>
        <v>1.8657954148938309</v>
      </c>
      <c r="R50" s="45">
        <f t="shared" si="24"/>
        <v>1.582816378700141</v>
      </c>
      <c r="S50" s="45">
        <f t="shared" si="24"/>
        <v>2.0895719676947473</v>
      </c>
      <c r="T50" s="45">
        <f t="shared" si="24"/>
        <v>2.3356345679067987</v>
      </c>
      <c r="U50" s="46">
        <f t="shared" si="24"/>
        <v>2.1044763580359551</v>
      </c>
      <c r="V50" s="9"/>
      <c r="W50" s="9"/>
    </row>
    <row r="51" spans="1:23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 spans="1:23" x14ac:dyDescent="0.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 spans="1:23" x14ac:dyDescent="0.2">
      <c r="A53" s="15" t="s">
        <v>39</v>
      </c>
      <c r="B53" s="47" t="s">
        <v>52</v>
      </c>
      <c r="C53" s="48">
        <v>3.5999999999999999E-3</v>
      </c>
      <c r="D53" s="49" t="s">
        <v>53</v>
      </c>
      <c r="E53" s="48">
        <v>1.2999999999999999E-3</v>
      </c>
      <c r="F53" s="50"/>
      <c r="G53" s="50"/>
      <c r="H53" s="51"/>
      <c r="I53" s="51"/>
      <c r="J53" s="51"/>
      <c r="K53" s="50"/>
      <c r="L53" s="50"/>
      <c r="M53" s="50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 spans="1:23" x14ac:dyDescent="0.2">
      <c r="A54" s="20" t="s">
        <v>40</v>
      </c>
      <c r="B54" s="52" t="s">
        <v>52</v>
      </c>
      <c r="C54" s="53">
        <v>4.7999999999999996E-3</v>
      </c>
      <c r="D54" s="54" t="s">
        <v>53</v>
      </c>
      <c r="E54" s="53">
        <v>1.6000000000000001E-3</v>
      </c>
      <c r="F54" s="50"/>
      <c r="G54" s="50"/>
      <c r="H54" s="51"/>
      <c r="I54" s="51"/>
      <c r="J54" s="51"/>
      <c r="K54" s="50"/>
      <c r="L54" s="50"/>
      <c r="M54" s="50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 spans="1:23" x14ac:dyDescent="0.2">
      <c r="A55" s="20" t="s">
        <v>41</v>
      </c>
      <c r="B55" s="52" t="s">
        <v>52</v>
      </c>
      <c r="C55" s="53">
        <v>2.7000000000000001E-3</v>
      </c>
      <c r="D55" s="54" t="s">
        <v>53</v>
      </c>
      <c r="E55" s="53">
        <v>1.1999999999999999E-3</v>
      </c>
      <c r="F55" s="50"/>
      <c r="G55" s="50"/>
      <c r="H55" s="51"/>
      <c r="I55" s="51"/>
      <c r="J55" s="51"/>
      <c r="K55" s="50"/>
      <c r="L55" s="50"/>
      <c r="M55" s="50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 spans="1:23" x14ac:dyDescent="0.2">
      <c r="A56" s="20" t="s">
        <v>42</v>
      </c>
      <c r="B56" s="52" t="s">
        <v>52</v>
      </c>
      <c r="C56" s="53">
        <v>2.7000000000000001E-3</v>
      </c>
      <c r="D56" s="54" t="s">
        <v>53</v>
      </c>
      <c r="E56" s="53">
        <v>-5.0000000000000001E-4</v>
      </c>
      <c r="F56" s="50"/>
      <c r="G56" s="50"/>
      <c r="H56" s="51"/>
      <c r="I56" s="51"/>
      <c r="J56" s="51"/>
      <c r="K56" s="50"/>
      <c r="L56" s="50"/>
      <c r="M56" s="50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 spans="1:23" x14ac:dyDescent="0.2">
      <c r="A57" s="20" t="s">
        <v>43</v>
      </c>
      <c r="B57" s="52" t="s">
        <v>52</v>
      </c>
      <c r="C57" s="53">
        <v>3.5999999999999999E-3</v>
      </c>
      <c r="D57" s="54" t="s">
        <v>53</v>
      </c>
      <c r="E57" s="53">
        <v>2.5999999999999999E-3</v>
      </c>
      <c r="F57" s="50"/>
      <c r="G57" s="50"/>
      <c r="H57" s="51"/>
      <c r="I57" s="51"/>
      <c r="J57" s="51"/>
      <c r="K57" s="50"/>
      <c r="L57" s="50"/>
      <c r="M57" s="50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 spans="1:23" x14ac:dyDescent="0.2">
      <c r="A58" s="20" t="s">
        <v>44</v>
      </c>
      <c r="B58" s="52" t="s">
        <v>52</v>
      </c>
      <c r="C58" s="53">
        <v>2.7000000000000001E-3</v>
      </c>
      <c r="D58" s="54" t="s">
        <v>53</v>
      </c>
      <c r="E58" s="53">
        <v>0</v>
      </c>
      <c r="F58" s="50"/>
      <c r="G58" s="50"/>
      <c r="H58" s="51"/>
      <c r="I58" s="51"/>
      <c r="J58" s="51"/>
      <c r="K58" s="50"/>
      <c r="L58" s="50"/>
      <c r="M58" s="50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 spans="1:23" x14ac:dyDescent="0.2">
      <c r="A59" s="20" t="s">
        <v>45</v>
      </c>
      <c r="B59" s="52" t="s">
        <v>52</v>
      </c>
      <c r="C59" s="53">
        <v>2.5999999999999999E-3</v>
      </c>
      <c r="D59" s="54" t="s">
        <v>53</v>
      </c>
      <c r="E59" s="53">
        <v>-4.1999999999999997E-3</v>
      </c>
      <c r="F59" s="50"/>
      <c r="G59" s="50"/>
      <c r="H59" s="51"/>
      <c r="I59" s="51"/>
      <c r="J59" s="51"/>
      <c r="K59" s="50"/>
      <c r="L59" s="50"/>
      <c r="M59" s="50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 spans="1:23" x14ac:dyDescent="0.2">
      <c r="A60" s="20" t="s">
        <v>47</v>
      </c>
      <c r="B60" s="52" t="s">
        <v>52</v>
      </c>
      <c r="C60" s="53">
        <v>2.5000000000000001E-3</v>
      </c>
      <c r="D60" s="54" t="s">
        <v>53</v>
      </c>
      <c r="E60" s="53">
        <v>-8.9999999999999998E-4</v>
      </c>
      <c r="F60" s="50"/>
      <c r="G60" s="50"/>
      <c r="H60" s="51"/>
      <c r="I60" s="51"/>
      <c r="J60" s="51"/>
      <c r="K60" s="50"/>
      <c r="L60" s="50"/>
      <c r="M60" s="50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 spans="1:23" x14ac:dyDescent="0.2">
      <c r="A61" s="20" t="s">
        <v>48</v>
      </c>
      <c r="B61" s="52" t="s">
        <v>52</v>
      </c>
      <c r="C61" s="53">
        <v>2.3E-3</v>
      </c>
      <c r="D61" s="54" t="s">
        <v>53</v>
      </c>
      <c r="E61" s="53">
        <v>-5.0000000000000001E-4</v>
      </c>
      <c r="F61" s="50"/>
      <c r="G61" s="50"/>
      <c r="H61" s="51"/>
      <c r="I61" s="51"/>
      <c r="J61" s="51"/>
      <c r="K61" s="50"/>
      <c r="L61" s="50"/>
      <c r="M61" s="50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 spans="1:23" x14ac:dyDescent="0.2">
      <c r="A62" s="26" t="s">
        <v>49</v>
      </c>
      <c r="B62" s="55" t="s">
        <v>52</v>
      </c>
      <c r="C62" s="56">
        <v>2.5000000000000001E-3</v>
      </c>
      <c r="D62" s="57" t="s">
        <v>53</v>
      </c>
      <c r="E62" s="56">
        <v>-4.0000000000000002E-4</v>
      </c>
      <c r="F62" s="58"/>
      <c r="G62" s="50"/>
      <c r="H62" s="51"/>
      <c r="I62" s="51"/>
      <c r="J62" s="51"/>
      <c r="K62" s="50"/>
      <c r="L62" s="50"/>
      <c r="M62" s="50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 spans="1:23" x14ac:dyDescent="0.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 spans="1:23" hidden="1" x14ac:dyDescent="0.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 spans="1:23" hidden="1" x14ac:dyDescent="0.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 spans="1:23" hidden="1" x14ac:dyDescent="0.2">
      <c r="A66" s="9"/>
      <c r="B66" s="7" t="s">
        <v>13</v>
      </c>
      <c r="C66" s="7">
        <v>2.5100000000000001E-2</v>
      </c>
      <c r="D66" s="12" t="s">
        <v>14</v>
      </c>
      <c r="E66" s="21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 spans="1:23" hidden="1" x14ac:dyDescent="0.2">
      <c r="A67" s="9"/>
      <c r="B67" s="7" t="s">
        <v>15</v>
      </c>
      <c r="C67" s="7">
        <v>1.1662213962132653</v>
      </c>
      <c r="D67" s="12" t="s">
        <v>16</v>
      </c>
      <c r="E67" s="21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 spans="1:23" hidden="1" x14ac:dyDescent="0.2">
      <c r="A68" s="9"/>
      <c r="B68" s="7" t="s">
        <v>17</v>
      </c>
      <c r="C68" s="7">
        <v>0.23324427924265306</v>
      </c>
      <c r="D68" s="12" t="s">
        <v>16</v>
      </c>
      <c r="E68" s="21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 spans="1:23" hidden="1" x14ac:dyDescent="0.2">
      <c r="A69" s="9"/>
      <c r="B69" s="7" t="s">
        <v>17</v>
      </c>
      <c r="C69" s="7">
        <v>20.080000000000002</v>
      </c>
      <c r="D69" s="12" t="s">
        <v>18</v>
      </c>
      <c r="E69" s="12">
        <f>C69/1000</f>
        <v>2.0080000000000001E-2</v>
      </c>
      <c r="F69" s="12" t="s">
        <v>54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 spans="1:23" hidden="1" x14ac:dyDescent="0.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 spans="1:23" x14ac:dyDescent="0.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 spans="1:23" ht="16" x14ac:dyDescent="0.2">
      <c r="A72" s="9"/>
      <c r="B72" s="124" t="s">
        <v>55</v>
      </c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6"/>
      <c r="V72" s="9"/>
      <c r="W72" s="9"/>
    </row>
    <row r="73" spans="1:23" ht="16" x14ac:dyDescent="0.2">
      <c r="A73" s="9"/>
      <c r="B73" s="13" t="str">
        <f t="shared" ref="B73:U73" si="25">B10</f>
        <v>A_0h</v>
      </c>
      <c r="C73" s="13" t="str">
        <f t="shared" si="25"/>
        <v>A_12h</v>
      </c>
      <c r="D73" s="13" t="str">
        <f t="shared" si="25"/>
        <v>A_24h</v>
      </c>
      <c r="E73" s="13" t="str">
        <f t="shared" si="25"/>
        <v>A_48h</v>
      </c>
      <c r="F73" s="13" t="str">
        <f t="shared" si="25"/>
        <v>B_0h</v>
      </c>
      <c r="G73" s="30" t="str">
        <f t="shared" si="25"/>
        <v>B_12h</v>
      </c>
      <c r="H73" s="14" t="str">
        <f t="shared" si="25"/>
        <v>B_24h</v>
      </c>
      <c r="I73" s="13" t="str">
        <f t="shared" si="25"/>
        <v>B_48h</v>
      </c>
      <c r="J73" s="13" t="str">
        <f t="shared" si="25"/>
        <v>C_0h</v>
      </c>
      <c r="K73" s="13" t="str">
        <f t="shared" si="25"/>
        <v>C_12h</v>
      </c>
      <c r="L73" s="13" t="str">
        <f t="shared" si="25"/>
        <v>C_24h</v>
      </c>
      <c r="M73" s="13" t="str">
        <f t="shared" si="25"/>
        <v>C_48h</v>
      </c>
      <c r="N73" s="13" t="str">
        <f t="shared" si="25"/>
        <v>D_0h</v>
      </c>
      <c r="O73" s="13" t="str">
        <f t="shared" si="25"/>
        <v>D_12h</v>
      </c>
      <c r="P73" s="13" t="str">
        <f t="shared" si="25"/>
        <v>D_24h</v>
      </c>
      <c r="Q73" s="13" t="str">
        <f t="shared" si="25"/>
        <v>D_48h</v>
      </c>
      <c r="R73" s="13" t="str">
        <f t="shared" si="25"/>
        <v>E_0h</v>
      </c>
      <c r="S73" s="30" t="str">
        <f t="shared" si="25"/>
        <v>E_12h</v>
      </c>
      <c r="T73" s="14" t="str">
        <f t="shared" si="25"/>
        <v>E_24h</v>
      </c>
      <c r="U73" s="13" t="str">
        <f t="shared" si="25"/>
        <v>E_48h</v>
      </c>
      <c r="V73" s="9"/>
      <c r="W73" s="9"/>
    </row>
    <row r="74" spans="1:23" x14ac:dyDescent="0.2">
      <c r="A74" s="15" t="s">
        <v>39</v>
      </c>
      <c r="B74" s="59">
        <f>B41*$E$69</f>
        <v>8.4013478994362858E-2</v>
      </c>
      <c r="C74" s="31">
        <f t="shared" ref="C74:U74" si="26">C41*$E$69</f>
        <v>0.70159170619784905</v>
      </c>
      <c r="D74" s="31">
        <f t="shared" si="26"/>
        <v>2.1059733686268425</v>
      </c>
      <c r="E74" s="60">
        <f t="shared" si="26"/>
        <v>2.9078291670015401</v>
      </c>
      <c r="F74" s="31">
        <f t="shared" si="26"/>
        <v>8.904081881983332E-2</v>
      </c>
      <c r="G74" s="19">
        <f t="shared" si="26"/>
        <v>0.8058158325152851</v>
      </c>
      <c r="H74" s="19">
        <f t="shared" si="26"/>
        <v>0.89743194086799594</v>
      </c>
      <c r="I74" s="60">
        <f t="shared" si="26"/>
        <v>0.23748106754344156</v>
      </c>
      <c r="J74" s="59">
        <f t="shared" si="26"/>
        <v>6.7377809208633163E-2</v>
      </c>
      <c r="K74" s="31">
        <f t="shared" si="26"/>
        <v>1.3427713981504144</v>
      </c>
      <c r="L74" s="31">
        <f t="shared" si="26"/>
        <v>3.3046093306561435</v>
      </c>
      <c r="M74" s="60">
        <f t="shared" si="26"/>
        <v>3.6446496495434197</v>
      </c>
      <c r="N74" s="59">
        <f t="shared" si="26"/>
        <v>8.06219229540103E-2</v>
      </c>
      <c r="O74" s="31">
        <f t="shared" si="26"/>
        <v>1.7506788522156127</v>
      </c>
      <c r="P74" s="31">
        <f t="shared" si="26"/>
        <v>2.8882475993519572</v>
      </c>
      <c r="Q74" s="60">
        <f t="shared" si="26"/>
        <v>3.5797747650356881</v>
      </c>
      <c r="R74" s="31">
        <f t="shared" si="26"/>
        <v>6.6645879320255813E-2</v>
      </c>
      <c r="S74" s="31">
        <f t="shared" si="26"/>
        <v>1.4985038510478175</v>
      </c>
      <c r="T74" s="31">
        <f t="shared" si="26"/>
        <v>2.8887797617072724</v>
      </c>
      <c r="U74" s="60">
        <f t="shared" si="26"/>
        <v>3.8121774370273926</v>
      </c>
      <c r="V74" s="9"/>
      <c r="W74" s="9"/>
    </row>
    <row r="75" spans="1:23" x14ac:dyDescent="0.2">
      <c r="A75" s="20" t="s">
        <v>40</v>
      </c>
      <c r="B75" s="34">
        <f t="shared" ref="B75:U83" si="27">B42*$E$69</f>
        <v>7.2765434249739899E-2</v>
      </c>
      <c r="C75" s="33">
        <f t="shared" si="27"/>
        <v>0.1825084143496159</v>
      </c>
      <c r="D75" s="33">
        <f t="shared" si="27"/>
        <v>0.20475419640188608</v>
      </c>
      <c r="E75" s="32">
        <f t="shared" si="27"/>
        <v>0.14627442820942643</v>
      </c>
      <c r="F75" s="33">
        <f t="shared" si="27"/>
        <v>6.119572468505486E-2</v>
      </c>
      <c r="G75" s="9">
        <f t="shared" si="27"/>
        <v>0.1487065029095456</v>
      </c>
      <c r="H75" s="9">
        <f t="shared" si="27"/>
        <v>0.15385296482772945</v>
      </c>
      <c r="I75" s="32">
        <f t="shared" si="27"/>
        <v>0.17490295243901335</v>
      </c>
      <c r="J75" s="34">
        <f t="shared" si="27"/>
        <v>4.8823900394983771E-2</v>
      </c>
      <c r="K75" s="33">
        <f t="shared" si="27"/>
        <v>0.14419652041023884</v>
      </c>
      <c r="L75" s="33">
        <f t="shared" si="27"/>
        <v>4.0862168929875917E-2</v>
      </c>
      <c r="M75" s="32">
        <f t="shared" si="27"/>
        <v>0.16790482891532271</v>
      </c>
      <c r="N75" s="34">
        <f t="shared" si="27"/>
        <v>5.6842182937900498E-2</v>
      </c>
      <c r="O75" s="33">
        <f t="shared" si="27"/>
        <v>1.6737407943105815E-2</v>
      </c>
      <c r="P75" s="33">
        <f t="shared" si="27"/>
        <v>0.14077843287628194</v>
      </c>
      <c r="Q75" s="32">
        <f t="shared" si="27"/>
        <v>0.15097504877468046</v>
      </c>
      <c r="R75" s="33">
        <f t="shared" si="27"/>
        <v>4.975131378472266E-2</v>
      </c>
      <c r="S75" s="33">
        <f t="shared" si="27"/>
        <v>0.1395732701539048</v>
      </c>
      <c r="T75" s="33">
        <f t="shared" si="27"/>
        <v>0.15856186061173635</v>
      </c>
      <c r="U75" s="32">
        <f t="shared" si="27"/>
        <v>0.1676573783898179</v>
      </c>
      <c r="V75" s="9"/>
      <c r="W75" s="9"/>
    </row>
    <row r="76" spans="1:23" x14ac:dyDescent="0.2">
      <c r="A76" s="20" t="s">
        <v>41</v>
      </c>
      <c r="B76" s="34">
        <f t="shared" si="27"/>
        <v>8.4144866823549408E-5</v>
      </c>
      <c r="C76" s="33">
        <f t="shared" si="27"/>
        <v>0.4897112961159274</v>
      </c>
      <c r="D76" s="33">
        <f t="shared" si="27"/>
        <v>1.4411766321436161</v>
      </c>
      <c r="E76" s="32">
        <f t="shared" si="27"/>
        <v>2.3096334483975767</v>
      </c>
      <c r="F76" s="33">
        <f t="shared" si="27"/>
        <v>2.457607044034911E-2</v>
      </c>
      <c r="G76" s="9">
        <f t="shared" si="27"/>
        <v>0.46184788046957037</v>
      </c>
      <c r="H76" s="9">
        <f t="shared" si="27"/>
        <v>1.1428087777314622</v>
      </c>
      <c r="I76" s="32">
        <f t="shared" si="27"/>
        <v>1.9571866099612469</v>
      </c>
      <c r="J76" s="34">
        <f t="shared" si="27"/>
        <v>9.4323668115309206E-2</v>
      </c>
      <c r="K76" s="33">
        <f t="shared" si="27"/>
        <v>1.0737050280383469</v>
      </c>
      <c r="L76" s="33">
        <f t="shared" si="27"/>
        <v>2.5535497218304561</v>
      </c>
      <c r="M76" s="32">
        <f t="shared" si="27"/>
        <v>2.9942418886926916</v>
      </c>
      <c r="N76" s="34">
        <f t="shared" si="27"/>
        <v>1.5186896171979323E-2</v>
      </c>
      <c r="O76" s="33">
        <f t="shared" si="27"/>
        <v>1.2408174427690881</v>
      </c>
      <c r="P76" s="33">
        <f t="shared" si="27"/>
        <v>2.204319100325403</v>
      </c>
      <c r="Q76" s="32">
        <f t="shared" si="27"/>
        <v>2.626943182999288</v>
      </c>
      <c r="R76" s="33">
        <f t="shared" si="27"/>
        <v>9.9002877611031512E-4</v>
      </c>
      <c r="S76" s="33">
        <f t="shared" si="27"/>
        <v>0.26445116444327893</v>
      </c>
      <c r="T76" s="33">
        <f t="shared" si="27"/>
        <v>0.40938208318606767</v>
      </c>
      <c r="U76" s="32">
        <f t="shared" si="27"/>
        <v>0.5308972516081738</v>
      </c>
      <c r="V76" s="9"/>
      <c r="W76" s="9"/>
    </row>
    <row r="77" spans="1:23" x14ac:dyDescent="0.2">
      <c r="A77" s="20" t="s">
        <v>42</v>
      </c>
      <c r="B77" s="34">
        <f t="shared" si="27"/>
        <v>0.31408009253544372</v>
      </c>
      <c r="C77" s="33">
        <f t="shared" si="27"/>
        <v>0.24229628138741882</v>
      </c>
      <c r="D77" s="33">
        <f t="shared" si="27"/>
        <v>0.32193453697824759</v>
      </c>
      <c r="E77" s="32">
        <f t="shared" si="27"/>
        <v>0.24133579499006957</v>
      </c>
      <c r="F77" s="33">
        <f t="shared" si="27"/>
        <v>0.21964004504456919</v>
      </c>
      <c r="G77" s="9">
        <f t="shared" si="27"/>
        <v>0.72372501801800704</v>
      </c>
      <c r="H77" s="9">
        <f t="shared" si="27"/>
        <v>0.96760221190789542</v>
      </c>
      <c r="I77" s="32">
        <f t="shared" si="27"/>
        <v>1.2316791220488834</v>
      </c>
      <c r="J77" s="34">
        <f t="shared" si="27"/>
        <v>0.1892293190783115</v>
      </c>
      <c r="K77" s="33">
        <f t="shared" si="27"/>
        <v>0.48082637100721187</v>
      </c>
      <c r="L77" s="33">
        <f t="shared" si="27"/>
        <v>0.69653312762843766</v>
      </c>
      <c r="M77" s="32">
        <f t="shared" si="27"/>
        <v>0.57654951007398691</v>
      </c>
      <c r="N77" s="34">
        <f t="shared" si="27"/>
        <v>0.22019141482094542</v>
      </c>
      <c r="O77" s="33">
        <f t="shared" si="27"/>
        <v>0.63517156720663281</v>
      </c>
      <c r="P77" s="33">
        <f t="shared" si="27"/>
        <v>0.54272407147126944</v>
      </c>
      <c r="Q77" s="32">
        <f t="shared" si="27"/>
        <v>0.45793019462982215</v>
      </c>
      <c r="R77" s="33">
        <f t="shared" si="27"/>
        <v>0.19128476732667368</v>
      </c>
      <c r="S77" s="33">
        <f t="shared" si="27"/>
        <v>0.82408104090150203</v>
      </c>
      <c r="T77" s="33">
        <f t="shared" si="27"/>
        <v>0.97593299171112202</v>
      </c>
      <c r="U77" s="32">
        <f t="shared" si="27"/>
        <v>1.0070171852089917</v>
      </c>
      <c r="V77" s="9"/>
      <c r="W77" s="9"/>
    </row>
    <row r="78" spans="1:23" x14ac:dyDescent="0.2">
      <c r="A78" s="20" t="s">
        <v>43</v>
      </c>
      <c r="B78" s="34">
        <f t="shared" si="27"/>
        <v>2.0678686268401119E-2</v>
      </c>
      <c r="C78" s="33">
        <f t="shared" si="27"/>
        <v>3.7738058930954776E-2</v>
      </c>
      <c r="D78" s="33">
        <f t="shared" si="27"/>
        <v>4.2908906682686043E-2</v>
      </c>
      <c r="E78" s="32">
        <f t="shared" si="27"/>
        <v>1.7226132756066475E-2</v>
      </c>
      <c r="F78" s="33">
        <f t="shared" si="27"/>
        <v>2.5540507752240642E-2</v>
      </c>
      <c r="G78" s="9">
        <f t="shared" si="27"/>
        <v>8.5881380340822322E-2</v>
      </c>
      <c r="H78" s="9">
        <f t="shared" si="27"/>
        <v>3.1532581084815312E-2</v>
      </c>
      <c r="I78" s="32">
        <f t="shared" si="27"/>
        <v>2.4751060224017078E-2</v>
      </c>
      <c r="J78" s="34">
        <f t="shared" si="27"/>
        <v>5.8254888126556333E-2</v>
      </c>
      <c r="K78" s="33">
        <f t="shared" si="27"/>
        <v>3.3380883517936326E-2</v>
      </c>
      <c r="L78" s="33">
        <f t="shared" si="27"/>
        <v>5.5424165105030405E-2</v>
      </c>
      <c r="M78" s="32">
        <f t="shared" si="27"/>
        <v>3.6760251834974278E-2</v>
      </c>
      <c r="N78" s="34">
        <f t="shared" si="27"/>
        <v>2.7955074732255669E-2</v>
      </c>
      <c r="O78" s="33">
        <f t="shared" si="27"/>
        <v>4.3700930533267381E-2</v>
      </c>
      <c r="P78" s="33">
        <f t="shared" si="27"/>
        <v>3.8166903535855667E-2</v>
      </c>
      <c r="Q78" s="32">
        <f t="shared" si="27"/>
        <v>2.7077814757910854E-2</v>
      </c>
      <c r="R78" s="33">
        <f t="shared" si="27"/>
        <v>3.3027257671031929E-2</v>
      </c>
      <c r="S78" s="33">
        <f t="shared" si="27"/>
        <v>5.9545873533923113E-2</v>
      </c>
      <c r="T78" s="33">
        <f t="shared" si="27"/>
        <v>4.817651135591549E-2</v>
      </c>
      <c r="U78" s="32">
        <f t="shared" si="27"/>
        <v>3.1859156942199027E-2</v>
      </c>
      <c r="V78" s="9"/>
      <c r="W78" s="9"/>
    </row>
    <row r="79" spans="1:23" x14ac:dyDescent="0.2">
      <c r="A79" s="20" t="s">
        <v>44</v>
      </c>
      <c r="B79" s="34">
        <f t="shared" si="27"/>
        <v>4.470064901517809E-2</v>
      </c>
      <c r="C79" s="33">
        <f t="shared" si="27"/>
        <v>0.17788779031650961</v>
      </c>
      <c r="D79" s="33">
        <f t="shared" si="27"/>
        <v>0.44146691050391912</v>
      </c>
      <c r="E79" s="32">
        <f t="shared" si="27"/>
        <v>0.43346575227697925</v>
      </c>
      <c r="F79" s="33">
        <f t="shared" si="27"/>
        <v>3.1988698272428749E-2</v>
      </c>
      <c r="G79" s="9">
        <f t="shared" si="27"/>
        <v>0.10258359023291888</v>
      </c>
      <c r="H79" s="9">
        <f t="shared" si="27"/>
        <v>0.3238953614498481</v>
      </c>
      <c r="I79" s="32">
        <f t="shared" si="27"/>
        <v>0.98572476418589694</v>
      </c>
      <c r="J79" s="34">
        <f t="shared" si="27"/>
        <v>5.9585032648445474E-2</v>
      </c>
      <c r="K79" s="33">
        <f t="shared" si="27"/>
        <v>8.9881010622705107E-2</v>
      </c>
      <c r="L79" s="33">
        <f t="shared" si="27"/>
        <v>0.11602762521285692</v>
      </c>
      <c r="M79" s="32">
        <f t="shared" si="27"/>
        <v>0.10396134579319684</v>
      </c>
      <c r="N79" s="34">
        <f t="shared" si="27"/>
        <v>2.2000353626761653E-2</v>
      </c>
      <c r="O79" s="33">
        <f t="shared" si="27"/>
        <v>2.9331694174416698E-2</v>
      </c>
      <c r="P79" s="33">
        <f t="shared" si="27"/>
        <v>3.8231464869204014E-2</v>
      </c>
      <c r="Q79" s="32">
        <f t="shared" si="27"/>
        <v>4.4872405549739987E-2</v>
      </c>
      <c r="R79" s="33">
        <f t="shared" si="27"/>
        <v>1.8713236147161999E-2</v>
      </c>
      <c r="S79" s="33">
        <f t="shared" si="27"/>
        <v>4.99760633539168E-2</v>
      </c>
      <c r="T79" s="33">
        <f t="shared" si="27"/>
        <v>7.5750768923310813E-2</v>
      </c>
      <c r="U79" s="32">
        <f t="shared" si="27"/>
        <v>6.2916720933677936E-2</v>
      </c>
      <c r="V79" s="9"/>
      <c r="W79" s="9"/>
    </row>
    <row r="80" spans="1:23" x14ac:dyDescent="0.2">
      <c r="A80" s="20" t="s">
        <v>45</v>
      </c>
      <c r="B80" s="34">
        <f t="shared" si="27"/>
        <v>6.4830346219636431E-2</v>
      </c>
      <c r="C80" s="33">
        <f t="shared" si="27"/>
        <v>6.1731694928606994E-2</v>
      </c>
      <c r="D80" s="33">
        <f t="shared" si="27"/>
        <v>7.2869964316707336E-2</v>
      </c>
      <c r="E80" s="32">
        <f t="shared" si="27"/>
        <v>8.8846373839880255E-2</v>
      </c>
      <c r="F80" s="33">
        <f t="shared" si="27"/>
        <v>7.8382197348315197E-2</v>
      </c>
      <c r="G80" s="9">
        <f t="shared" si="27"/>
        <v>7.2597792496158955E-2</v>
      </c>
      <c r="H80" s="9">
        <f t="shared" si="27"/>
        <v>7.5242629718591345E-2</v>
      </c>
      <c r="I80" s="32">
        <f t="shared" si="27"/>
        <v>8.7415680726259007E-2</v>
      </c>
      <c r="J80" s="34">
        <f t="shared" si="27"/>
        <v>6.4629986747438861E-2</v>
      </c>
      <c r="K80" s="33">
        <f t="shared" si="27"/>
        <v>8.4983223324657658E-2</v>
      </c>
      <c r="L80" s="33">
        <f t="shared" si="27"/>
        <v>0.1130859921847806</v>
      </c>
      <c r="M80" s="32">
        <f t="shared" si="27"/>
        <v>0.10087108052553173</v>
      </c>
      <c r="N80" s="34">
        <f t="shared" si="27"/>
        <v>8.2598523756345257E-2</v>
      </c>
      <c r="O80" s="33">
        <f t="shared" si="27"/>
        <v>8.3225642405471562E-2</v>
      </c>
      <c r="P80" s="33">
        <f t="shared" si="27"/>
        <v>8.958975024468363E-2</v>
      </c>
      <c r="Q80" s="32">
        <f t="shared" si="27"/>
        <v>9.7200712270022041E-2</v>
      </c>
      <c r="R80" s="33">
        <f t="shared" si="27"/>
        <v>5.030667860910442E-2</v>
      </c>
      <c r="S80" s="33">
        <f t="shared" si="27"/>
        <v>7.6318851085115699E-2</v>
      </c>
      <c r="T80" s="33">
        <f t="shared" si="27"/>
        <v>7.414029323414785E-2</v>
      </c>
      <c r="U80" s="32">
        <f t="shared" si="27"/>
        <v>7.4316716216777448E-2</v>
      </c>
      <c r="V80" s="9"/>
      <c r="W80" s="9"/>
    </row>
    <row r="81" spans="1:23" x14ac:dyDescent="0.2">
      <c r="A81" s="20" t="s">
        <v>47</v>
      </c>
      <c r="B81" s="34">
        <f t="shared" si="27"/>
        <v>0.84346641440386549</v>
      </c>
      <c r="C81" s="33">
        <f t="shared" si="27"/>
        <v>1.2062866579963887</v>
      </c>
      <c r="D81" s="33">
        <f t="shared" si="27"/>
        <v>1.777863033382254</v>
      </c>
      <c r="E81" s="32">
        <f t="shared" si="27"/>
        <v>1.413664969956697</v>
      </c>
      <c r="F81" s="33">
        <f t="shared" si="27"/>
        <v>0.90791980314920651</v>
      </c>
      <c r="G81" s="9">
        <f t="shared" si="27"/>
        <v>1.2894782403511578</v>
      </c>
      <c r="H81" s="9">
        <f t="shared" si="27"/>
        <v>1.2674768396794545</v>
      </c>
      <c r="I81" s="32">
        <f t="shared" si="27"/>
        <v>1.4848214609066721</v>
      </c>
      <c r="J81" s="34">
        <f t="shared" si="27"/>
        <v>0.8796631441525915</v>
      </c>
      <c r="K81" s="33">
        <f t="shared" si="27"/>
        <v>8.3278011772292007E-2</v>
      </c>
      <c r="L81" s="33">
        <f t="shared" si="27"/>
        <v>0.10330407952749864</v>
      </c>
      <c r="M81" s="32">
        <f t="shared" si="27"/>
        <v>8.5308405962510631E-2</v>
      </c>
      <c r="N81" s="34">
        <f t="shared" si="27"/>
        <v>0.91433584143509183</v>
      </c>
      <c r="O81" s="33">
        <f t="shared" si="27"/>
        <v>1.2627815033386021</v>
      </c>
      <c r="P81" s="33">
        <f t="shared" si="27"/>
        <v>1.2418576047417911</v>
      </c>
      <c r="Q81" s="32">
        <f t="shared" si="27"/>
        <v>1.1946091438555597</v>
      </c>
      <c r="R81" s="33">
        <f t="shared" si="27"/>
        <v>0.78054035570980984</v>
      </c>
      <c r="S81" s="33">
        <f t="shared" si="27"/>
        <v>1.2777224938376626</v>
      </c>
      <c r="T81" s="33">
        <f t="shared" si="27"/>
        <v>1.2631788950112477</v>
      </c>
      <c r="U81" s="32">
        <f t="shared" si="27"/>
        <v>1.2150631436800952</v>
      </c>
      <c r="V81" s="9"/>
      <c r="W81" s="9"/>
    </row>
    <row r="82" spans="1:23" x14ac:dyDescent="0.2">
      <c r="A82" s="20" t="s">
        <v>48</v>
      </c>
      <c r="B82" s="34">
        <f t="shared" si="27"/>
        <v>3.6149622506538193E-2</v>
      </c>
      <c r="C82" s="33">
        <f t="shared" si="27"/>
        <v>6.820483312186941E-2</v>
      </c>
      <c r="D82" s="33">
        <f t="shared" si="27"/>
        <v>2.2804088715903101E-2</v>
      </c>
      <c r="E82" s="32">
        <f t="shared" si="27"/>
        <v>2.7489271203949721E-2</v>
      </c>
      <c r="F82" s="33">
        <f t="shared" si="27"/>
        <v>3.3396013596062819E-2</v>
      </c>
      <c r="G82" s="9">
        <f t="shared" si="27"/>
        <v>5.8991430779272422E-2</v>
      </c>
      <c r="H82" s="9">
        <f t="shared" si="27"/>
        <v>3.4479781084489486E-2</v>
      </c>
      <c r="I82" s="32">
        <f t="shared" si="27"/>
        <v>2.2514172015543114E-2</v>
      </c>
      <c r="J82" s="34">
        <f t="shared" si="27"/>
        <v>2.7020646885577315E-2</v>
      </c>
      <c r="K82" s="33">
        <f t="shared" si="27"/>
        <v>0.18579636570190045</v>
      </c>
      <c r="L82" s="33">
        <f t="shared" si="27"/>
        <v>3.4453393321818016E-2</v>
      </c>
      <c r="M82" s="32">
        <f t="shared" si="27"/>
        <v>5.0727805888378302E-2</v>
      </c>
      <c r="N82" s="34">
        <f t="shared" si="27"/>
        <v>2.6499595066073672E-2</v>
      </c>
      <c r="O82" s="33">
        <f t="shared" si="27"/>
        <v>0.10828101632710233</v>
      </c>
      <c r="P82" s="33">
        <f t="shared" si="27"/>
        <v>8.6891702621230624E-2</v>
      </c>
      <c r="Q82" s="32">
        <f t="shared" si="27"/>
        <v>0.13361969184010852</v>
      </c>
      <c r="R82" s="33">
        <f t="shared" si="27"/>
        <v>2.2230441849668891E-2</v>
      </c>
      <c r="S82" s="33">
        <f t="shared" si="27"/>
        <v>0.19361024832885898</v>
      </c>
      <c r="T82" s="33">
        <f t="shared" si="27"/>
        <v>2.9752399747492334E-2</v>
      </c>
      <c r="U82" s="32">
        <f t="shared" si="27"/>
        <v>3.3059751038726187E-2</v>
      </c>
      <c r="V82" s="9"/>
      <c r="W82" s="9"/>
    </row>
    <row r="83" spans="1:23" x14ac:dyDescent="0.2">
      <c r="A83" s="26" t="s">
        <v>49</v>
      </c>
      <c r="B83" s="37">
        <f t="shared" si="27"/>
        <v>4.0056290927046045E-2</v>
      </c>
      <c r="C83" s="61">
        <f t="shared" si="27"/>
        <v>6.035971186153738E-2</v>
      </c>
      <c r="D83" s="61">
        <f t="shared" si="27"/>
        <v>6.4391621713587269E-2</v>
      </c>
      <c r="E83" s="62">
        <f t="shared" si="27"/>
        <v>5.125853611661578E-2</v>
      </c>
      <c r="F83" s="61">
        <f t="shared" si="27"/>
        <v>3.6867849659056498E-2</v>
      </c>
      <c r="G83" s="28">
        <f t="shared" si="27"/>
        <v>4.3913981086533445E-2</v>
      </c>
      <c r="H83" s="28">
        <f t="shared" si="27"/>
        <v>3.8881318811677154E-2</v>
      </c>
      <c r="I83" s="62">
        <f t="shared" si="27"/>
        <v>4.3102979611279096E-2</v>
      </c>
      <c r="J83" s="37">
        <f t="shared" si="27"/>
        <v>3.820866159819105E-2</v>
      </c>
      <c r="K83" s="61">
        <f t="shared" si="27"/>
        <v>4.4156148730314752E-2</v>
      </c>
      <c r="L83" s="61">
        <f t="shared" si="27"/>
        <v>5.9623537302487296E-2</v>
      </c>
      <c r="M83" s="62">
        <f t="shared" si="27"/>
        <v>4.605806621099668E-2</v>
      </c>
      <c r="N83" s="37">
        <f t="shared" si="27"/>
        <v>3.7433833699664111E-2</v>
      </c>
      <c r="O83" s="61">
        <f t="shared" si="27"/>
        <v>4.6311546365182983E-2</v>
      </c>
      <c r="P83" s="61">
        <f t="shared" si="27"/>
        <v>4.7668195496279098E-2</v>
      </c>
      <c r="Q83" s="62">
        <f t="shared" si="27"/>
        <v>3.7465171931068124E-2</v>
      </c>
      <c r="R83" s="61">
        <f t="shared" si="27"/>
        <v>3.1782952884298832E-2</v>
      </c>
      <c r="S83" s="61">
        <f t="shared" si="27"/>
        <v>4.1958605111310526E-2</v>
      </c>
      <c r="T83" s="61">
        <f t="shared" si="27"/>
        <v>4.6899542123568519E-2</v>
      </c>
      <c r="U83" s="62">
        <f t="shared" si="27"/>
        <v>4.2257885269361979E-2</v>
      </c>
      <c r="V83" s="9"/>
      <c r="W83" s="9"/>
    </row>
    <row r="84" spans="1:23" x14ac:dyDescent="0.2">
      <c r="A84" s="9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>
        <f>SUM(U74:U83)</f>
        <v>6.9772226263152124</v>
      </c>
      <c r="V84" s="9"/>
      <c r="W84" s="9"/>
    </row>
    <row r="85" spans="1:23" x14ac:dyDescent="0.2">
      <c r="A85" s="9"/>
      <c r="B85" s="9"/>
      <c r="C85" s="9"/>
      <c r="D85" s="9"/>
      <c r="E85" s="33"/>
      <c r="F85" s="9"/>
      <c r="G85" s="9"/>
      <c r="H85" s="9"/>
      <c r="I85" s="33"/>
      <c r="J85" s="9"/>
      <c r="K85" s="9"/>
      <c r="L85" s="9"/>
      <c r="M85" s="33"/>
      <c r="N85" s="9"/>
      <c r="O85" s="9"/>
      <c r="P85" s="9"/>
      <c r="Q85" s="33"/>
      <c r="R85" s="9"/>
      <c r="S85" s="9"/>
      <c r="T85" s="9"/>
      <c r="U85" s="33">
        <f>U84-R84</f>
        <v>6.9772226263152124</v>
      </c>
      <c r="V85" s="9"/>
      <c r="W85" s="9"/>
    </row>
    <row r="86" spans="1:23" ht="16" x14ac:dyDescent="0.2">
      <c r="A86" s="9"/>
      <c r="B86" s="127" t="s">
        <v>56</v>
      </c>
      <c r="C86" s="127"/>
      <c r="D86" s="127" t="s">
        <v>6</v>
      </c>
      <c r="E86" s="127"/>
      <c r="F86" s="127" t="s">
        <v>7</v>
      </c>
      <c r="G86" s="127"/>
      <c r="H86" s="127" t="s">
        <v>8</v>
      </c>
      <c r="I86" s="127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 spans="1:23" ht="16" x14ac:dyDescent="0.2">
      <c r="A87" s="9"/>
      <c r="B87" s="13" t="s">
        <v>57</v>
      </c>
      <c r="C87" s="13" t="s">
        <v>58</v>
      </c>
      <c r="D87" s="13" t="s">
        <v>57</v>
      </c>
      <c r="E87" s="13" t="s">
        <v>58</v>
      </c>
      <c r="F87" s="13" t="s">
        <v>57</v>
      </c>
      <c r="G87" s="13" t="s">
        <v>58</v>
      </c>
      <c r="H87" s="13" t="s">
        <v>57</v>
      </c>
      <c r="I87" s="13" t="s">
        <v>58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 spans="1:23" x14ac:dyDescent="0.2">
      <c r="A88" s="15" t="s">
        <v>39</v>
      </c>
      <c r="B88" s="63">
        <f t="shared" ref="B88:B97" si="28">AVERAGE(B74,F74,J74,N74,R74)</f>
        <v>7.7539981859419085E-2</v>
      </c>
      <c r="C88" s="63">
        <f t="shared" ref="C88:C97" si="29">STDEVA(B74,F74,J74,N74,R74)</f>
        <v>1.0070067030249569E-2</v>
      </c>
      <c r="D88" s="63">
        <f t="shared" ref="D88:D97" si="30">AVERAGE(C74,G74,K74,O74,S74)</f>
        <v>1.2198723280253958</v>
      </c>
      <c r="E88" s="63">
        <f t="shared" ref="E88:E97" si="31">STDEVA(C74,G74,K74,O74,S74)</f>
        <v>0.45126291051291556</v>
      </c>
      <c r="F88" s="63">
        <f t="shared" ref="F88:F97" si="32">AVERAGE(D74,H74,L74,P74,T74)</f>
        <v>2.4170084002420422</v>
      </c>
      <c r="G88" s="63">
        <f t="shared" ref="G88:G97" si="33">STDEVA(D74,H74,L74,P74,T74)</f>
        <v>0.95371974640406221</v>
      </c>
      <c r="H88" s="63">
        <f t="shared" ref="H88:H97" si="34">AVERAGE(E74,I74,M74,Q74,U74)</f>
        <v>2.8363824172302965</v>
      </c>
      <c r="I88" s="63">
        <f t="shared" ref="I88:I97" si="35">STDEVA(E74,I74,M74,Q74,U74)</f>
        <v>1.4931089114432148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 spans="1:23" x14ac:dyDescent="0.2">
      <c r="A89" s="20" t="s">
        <v>40</v>
      </c>
      <c r="B89" s="64">
        <f t="shared" si="28"/>
        <v>5.7875711210480338E-2</v>
      </c>
      <c r="C89" s="64">
        <f t="shared" si="29"/>
        <v>9.7690280340296982E-3</v>
      </c>
      <c r="D89" s="64">
        <f t="shared" si="30"/>
        <v>0.1263444231532822</v>
      </c>
      <c r="E89" s="64">
        <f t="shared" si="31"/>
        <v>6.356464046710418E-2</v>
      </c>
      <c r="F89" s="64">
        <f t="shared" si="32"/>
        <v>0.13976192472950194</v>
      </c>
      <c r="G89" s="64">
        <f t="shared" si="33"/>
        <v>6.0328652735249046E-2</v>
      </c>
      <c r="H89" s="64">
        <f t="shared" si="34"/>
        <v>0.16154292734565218</v>
      </c>
      <c r="I89" s="64">
        <f t="shared" si="35"/>
        <v>1.2259258715483633E-2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 spans="1:23" x14ac:dyDescent="0.2">
      <c r="A90" s="20" t="s">
        <v>41</v>
      </c>
      <c r="B90" s="64">
        <f t="shared" si="28"/>
        <v>2.7032161674114302E-2</v>
      </c>
      <c r="C90" s="64">
        <f t="shared" si="29"/>
        <v>3.898357934378701E-2</v>
      </c>
      <c r="D90" s="64">
        <f t="shared" si="30"/>
        <v>0.70610656236724234</v>
      </c>
      <c r="E90" s="64">
        <f t="shared" si="31"/>
        <v>0.42502737060029655</v>
      </c>
      <c r="F90" s="64">
        <f t="shared" si="32"/>
        <v>1.550247263043401</v>
      </c>
      <c r="G90" s="64">
        <f t="shared" si="33"/>
        <v>0.85350771416881077</v>
      </c>
      <c r="H90" s="64">
        <f t="shared" si="34"/>
        <v>2.0837804763317953</v>
      </c>
      <c r="I90" s="64">
        <f t="shared" si="35"/>
        <v>0.94900574167575147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 spans="1:23" x14ac:dyDescent="0.2">
      <c r="A91" s="20" t="s">
        <v>42</v>
      </c>
      <c r="B91" s="64">
        <f t="shared" si="28"/>
        <v>0.22688512776118869</v>
      </c>
      <c r="C91" s="64">
        <f t="shared" si="29"/>
        <v>5.0954893016052612E-2</v>
      </c>
      <c r="D91" s="64">
        <f t="shared" si="30"/>
        <v>0.58122005570415447</v>
      </c>
      <c r="E91" s="64">
        <f t="shared" si="31"/>
        <v>0.22756762991066634</v>
      </c>
      <c r="F91" s="64">
        <f t="shared" si="32"/>
        <v>0.70094538793939443</v>
      </c>
      <c r="G91" s="64">
        <f t="shared" si="33"/>
        <v>0.28081431684003216</v>
      </c>
      <c r="H91" s="64">
        <f t="shared" si="34"/>
        <v>0.70290236139035078</v>
      </c>
      <c r="I91" s="64">
        <f t="shared" si="35"/>
        <v>0.40654359834476628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 spans="1:23" x14ac:dyDescent="0.2">
      <c r="A92" s="20" t="s">
        <v>43</v>
      </c>
      <c r="B92" s="64">
        <f t="shared" si="28"/>
        <v>3.3091282910097136E-2</v>
      </c>
      <c r="C92" s="64">
        <f t="shared" si="29"/>
        <v>1.4753631095777089E-2</v>
      </c>
      <c r="D92" s="64">
        <f t="shared" si="30"/>
        <v>5.2049425371380784E-2</v>
      </c>
      <c r="E92" s="64">
        <f t="shared" si="31"/>
        <v>2.1353131752133964E-2</v>
      </c>
      <c r="F92" s="64">
        <f t="shared" si="32"/>
        <v>4.3241813552860588E-2</v>
      </c>
      <c r="G92" s="64">
        <f t="shared" si="33"/>
        <v>9.1615036348265365E-3</v>
      </c>
      <c r="H92" s="64">
        <f t="shared" si="34"/>
        <v>2.7534883303033542E-2</v>
      </c>
      <c r="I92" s="64">
        <f t="shared" si="35"/>
        <v>7.3830157707792891E-3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 spans="1:23" x14ac:dyDescent="0.2">
      <c r="A93" s="20" t="s">
        <v>44</v>
      </c>
      <c r="B93" s="64">
        <f t="shared" si="28"/>
        <v>3.5397593941995195E-2</v>
      </c>
      <c r="C93" s="64">
        <f t="shared" si="29"/>
        <v>1.6889741247641143E-2</v>
      </c>
      <c r="D93" s="64">
        <f t="shared" si="30"/>
        <v>8.9932029740093428E-2</v>
      </c>
      <c r="E93" s="64">
        <f t="shared" si="31"/>
        <v>5.7369766264461337E-2</v>
      </c>
      <c r="F93" s="64">
        <f t="shared" si="32"/>
        <v>0.19907442619182777</v>
      </c>
      <c r="G93" s="64">
        <f t="shared" si="33"/>
        <v>0.17486447332979677</v>
      </c>
      <c r="H93" s="64">
        <f t="shared" si="34"/>
        <v>0.3261881977478982</v>
      </c>
      <c r="I93" s="64">
        <f t="shared" si="35"/>
        <v>0.40135152153326853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 spans="1:23" x14ac:dyDescent="0.2">
      <c r="A94" s="20" t="s">
        <v>45</v>
      </c>
      <c r="B94" s="64">
        <f t="shared" si="28"/>
        <v>6.8149546536168032E-2</v>
      </c>
      <c r="C94" s="64">
        <f t="shared" si="29"/>
        <v>1.2798949303193511E-2</v>
      </c>
      <c r="D94" s="64">
        <f t="shared" si="30"/>
        <v>7.5771440848002178E-2</v>
      </c>
      <c r="E94" s="64">
        <f t="shared" si="31"/>
        <v>9.3261490520822176E-3</v>
      </c>
      <c r="F94" s="64">
        <f t="shared" si="32"/>
        <v>8.4985725939782153E-2</v>
      </c>
      <c r="G94" s="64">
        <f t="shared" si="33"/>
        <v>1.7103837413683782E-2</v>
      </c>
      <c r="H94" s="64">
        <f t="shared" si="34"/>
        <v>8.9730112715694088E-2</v>
      </c>
      <c r="I94" s="64">
        <f t="shared" si="35"/>
        <v>1.0291275466482919E-2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 spans="1:23" x14ac:dyDescent="0.2">
      <c r="A95" s="20" t="s">
        <v>47</v>
      </c>
      <c r="B95" s="64">
        <f t="shared" si="28"/>
        <v>0.86518511177011315</v>
      </c>
      <c r="C95" s="64">
        <f t="shared" si="29"/>
        <v>5.4972943434314053E-2</v>
      </c>
      <c r="D95" s="64">
        <f t="shared" si="30"/>
        <v>1.0239093814592206</v>
      </c>
      <c r="E95" s="64">
        <f t="shared" si="31"/>
        <v>0.52679612993922476</v>
      </c>
      <c r="F95" s="64">
        <f t="shared" si="32"/>
        <v>1.1307360904684489</v>
      </c>
      <c r="G95" s="64">
        <f t="shared" si="33"/>
        <v>0.61704475876055453</v>
      </c>
      <c r="H95" s="64">
        <f t="shared" si="34"/>
        <v>1.078693424872307</v>
      </c>
      <c r="I95" s="64">
        <f t="shared" si="35"/>
        <v>0.56920841252982435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 spans="1:23" x14ac:dyDescent="0.2">
      <c r="A96" s="20" t="s">
        <v>48</v>
      </c>
      <c r="B96" s="64">
        <f t="shared" si="28"/>
        <v>2.9059263980784178E-2</v>
      </c>
      <c r="C96" s="64">
        <f t="shared" si="29"/>
        <v>5.6218604029619618E-3</v>
      </c>
      <c r="D96" s="64">
        <f t="shared" si="30"/>
        <v>0.12297677885180072</v>
      </c>
      <c r="E96" s="64">
        <f t="shared" si="31"/>
        <v>6.3728807743380883E-2</v>
      </c>
      <c r="F96" s="64">
        <f t="shared" si="32"/>
        <v>4.1676273098186709E-2</v>
      </c>
      <c r="G96" s="64">
        <f t="shared" si="33"/>
        <v>2.572320283111507E-2</v>
      </c>
      <c r="H96" s="64">
        <f t="shared" si="34"/>
        <v>5.3482138397341172E-2</v>
      </c>
      <c r="I96" s="64">
        <f t="shared" si="35"/>
        <v>4.6047073228233246E-2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 spans="1:23" x14ac:dyDescent="0.2">
      <c r="A97" s="26" t="s">
        <v>49</v>
      </c>
      <c r="B97" s="65">
        <f t="shared" si="28"/>
        <v>3.6869917753651303E-2</v>
      </c>
      <c r="C97" s="65">
        <f t="shared" si="29"/>
        <v>3.0878967815744637E-3</v>
      </c>
      <c r="D97" s="65">
        <f t="shared" si="30"/>
        <v>4.7339998630975814E-2</v>
      </c>
      <c r="E97" s="65">
        <f t="shared" si="31"/>
        <v>7.4398343275797595E-3</v>
      </c>
      <c r="F97" s="65">
        <f t="shared" si="32"/>
        <v>5.1492843089519867E-2</v>
      </c>
      <c r="G97" s="65">
        <f t="shared" si="33"/>
        <v>1.0335177380727279E-2</v>
      </c>
      <c r="H97" s="65">
        <f t="shared" si="34"/>
        <v>4.4028527827864331E-2</v>
      </c>
      <c r="I97" s="65">
        <f t="shared" si="35"/>
        <v>5.0858013405764169E-3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 spans="1:23" x14ac:dyDescent="0.2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 spans="1:23" x14ac:dyDescent="0.2">
      <c r="A99" s="66" t="s">
        <v>59</v>
      </c>
      <c r="B99" s="67">
        <f>SUM(B90:B92)</f>
        <v>0.28700857234540011</v>
      </c>
      <c r="C99" s="67">
        <f>AVERAGE(C88:C97)</f>
        <v>2.1790258968958108E-2</v>
      </c>
      <c r="D99" s="67">
        <f>SUM(D90:D92)</f>
        <v>1.3393760434427777</v>
      </c>
      <c r="E99" s="67">
        <f>AVERAGE(E88:E97)</f>
        <v>0.18534363705698456</v>
      </c>
      <c r="F99" s="67">
        <f>SUM(F90:F92)</f>
        <v>2.294434464535656</v>
      </c>
      <c r="G99" s="67">
        <f>AVERAGE(G88:G97)</f>
        <v>0.30026033834988586</v>
      </c>
      <c r="H99" s="67">
        <f>SUM(H90:H92)</f>
        <v>2.8142177210251798</v>
      </c>
      <c r="I99" s="67">
        <f>AVERAGE(I88:I97)</f>
        <v>0.39002846100483812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 spans="1:23" x14ac:dyDescent="0.2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</sheetData>
  <mergeCells count="7">
    <mergeCell ref="B24:U24"/>
    <mergeCell ref="B39:U39"/>
    <mergeCell ref="B72:U72"/>
    <mergeCell ref="B86:C86"/>
    <mergeCell ref="D86:E86"/>
    <mergeCell ref="F86:G86"/>
    <mergeCell ref="H86:I8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768F6-4BA5-47AB-BA2B-79B28543D175}">
  <dimension ref="A1:W100"/>
  <sheetViews>
    <sheetView topLeftCell="A43" workbookViewId="0">
      <selection activeCell="A10" sqref="A10"/>
    </sheetView>
  </sheetViews>
  <sheetFormatPr baseColWidth="10" defaultColWidth="11.5" defaultRowHeight="15" x14ac:dyDescent="0.2"/>
  <cols>
    <col min="1" max="1" width="29.5" bestFit="1" customWidth="1"/>
    <col min="2" max="2" width="18.33203125" bestFit="1" customWidth="1"/>
    <col min="3" max="5" width="17.1640625" bestFit="1" customWidth="1"/>
    <col min="6" max="6" width="15.33203125" bestFit="1" customWidth="1"/>
    <col min="7" max="21" width="12.5" bestFit="1" customWidth="1"/>
  </cols>
  <sheetData>
    <row r="1" spans="1:23" hidden="1" x14ac:dyDescent="0.2">
      <c r="A1" s="7" t="s">
        <v>12</v>
      </c>
      <c r="B1" s="7">
        <v>20</v>
      </c>
      <c r="C1" s="7"/>
      <c r="D1" s="7"/>
      <c r="E1" s="8"/>
      <c r="F1" s="8"/>
      <c r="G1" s="8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 hidden="1" x14ac:dyDescent="0.2">
      <c r="A2" s="10"/>
      <c r="B2" s="8"/>
      <c r="C2" s="8"/>
      <c r="D2" s="8"/>
      <c r="E2" s="8"/>
      <c r="F2" s="8"/>
      <c r="G2" s="8"/>
      <c r="H2" s="11"/>
      <c r="I2" s="11"/>
      <c r="J2" s="11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hidden="1" x14ac:dyDescent="0.2">
      <c r="A3" s="7" t="s">
        <v>13</v>
      </c>
      <c r="B3" s="7">
        <v>2.5100000000000001E-2</v>
      </c>
      <c r="C3" s="12" t="s">
        <v>14</v>
      </c>
      <c r="D3" s="7"/>
      <c r="E3" s="12"/>
      <c r="F3" s="12"/>
      <c r="G3" s="12"/>
      <c r="H3" s="11"/>
      <c r="I3" s="11"/>
      <c r="J3" s="11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hidden="1" x14ac:dyDescent="0.2">
      <c r="A4" s="7" t="s">
        <v>15</v>
      </c>
      <c r="B4" s="7">
        <v>1.1662213962132653</v>
      </c>
      <c r="C4" s="12" t="s">
        <v>16</v>
      </c>
      <c r="D4" s="7"/>
      <c r="E4" s="12"/>
      <c r="F4" s="12"/>
      <c r="G4" s="12"/>
      <c r="H4" s="11"/>
      <c r="I4" s="11"/>
      <c r="J4" s="11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spans="1:23" hidden="1" x14ac:dyDescent="0.2">
      <c r="A5" s="7" t="s">
        <v>17</v>
      </c>
      <c r="B5" s="7">
        <v>0.23324427924265306</v>
      </c>
      <c r="C5" s="12" t="s">
        <v>16</v>
      </c>
      <c r="D5" s="7"/>
      <c r="E5" s="12"/>
      <c r="F5" s="12"/>
      <c r="G5" s="12"/>
      <c r="H5" s="11"/>
      <c r="I5" s="11"/>
      <c r="J5" s="11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spans="1:23" hidden="1" x14ac:dyDescent="0.2">
      <c r="A6" s="7" t="s">
        <v>17</v>
      </c>
      <c r="B6" s="7">
        <v>20.080000000000002</v>
      </c>
      <c r="C6" s="12" t="s">
        <v>18</v>
      </c>
      <c r="D6" s="7"/>
      <c r="E6" s="12" t="s">
        <v>18</v>
      </c>
      <c r="F6" s="12"/>
      <c r="G6" s="12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spans="1:23" hidden="1" x14ac:dyDescent="0.2">
      <c r="A7" s="10"/>
      <c r="B7" s="8"/>
      <c r="C7" s="8"/>
      <c r="D7" s="8"/>
      <c r="E7" s="8"/>
      <c r="F7" s="8"/>
      <c r="G7" s="8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spans="1:23" hidden="1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spans="1:23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spans="1:23" ht="16" x14ac:dyDescent="0.2">
      <c r="A10" s="9"/>
      <c r="B10" s="13" t="s">
        <v>19</v>
      </c>
      <c r="C10" s="13" t="s">
        <v>20</v>
      </c>
      <c r="D10" s="13" t="s">
        <v>21</v>
      </c>
      <c r="E10" s="13" t="s">
        <v>22</v>
      </c>
      <c r="F10" s="13" t="s">
        <v>23</v>
      </c>
      <c r="G10" s="13" t="s">
        <v>24</v>
      </c>
      <c r="H10" s="13" t="s">
        <v>25</v>
      </c>
      <c r="I10" s="13" t="s">
        <v>26</v>
      </c>
      <c r="J10" s="14" t="s">
        <v>27</v>
      </c>
      <c r="K10" s="13" t="s">
        <v>28</v>
      </c>
      <c r="L10" s="13" t="s">
        <v>29</v>
      </c>
      <c r="M10" s="13" t="s">
        <v>30</v>
      </c>
      <c r="N10" s="13" t="s">
        <v>31</v>
      </c>
      <c r="O10" s="13" t="s">
        <v>32</v>
      </c>
      <c r="P10" s="13" t="s">
        <v>33</v>
      </c>
      <c r="Q10" s="13" t="s">
        <v>34</v>
      </c>
      <c r="R10" s="13" t="s">
        <v>35</v>
      </c>
      <c r="S10" s="13" t="s">
        <v>36</v>
      </c>
      <c r="T10" s="13" t="s">
        <v>37</v>
      </c>
      <c r="U10" s="13" t="s">
        <v>38</v>
      </c>
      <c r="V10" s="9"/>
      <c r="W10" s="9"/>
    </row>
    <row r="11" spans="1:23" x14ac:dyDescent="0.2">
      <c r="A11" s="15" t="s">
        <v>39</v>
      </c>
      <c r="B11" s="70">
        <v>92785</v>
      </c>
      <c r="C11" s="9">
        <v>469356</v>
      </c>
      <c r="D11" s="9">
        <v>1074169</v>
      </c>
      <c r="E11" s="16">
        <v>2628182</v>
      </c>
      <c r="F11" s="70">
        <v>88066</v>
      </c>
      <c r="G11" s="9">
        <v>740593</v>
      </c>
      <c r="H11" s="9">
        <v>573449</v>
      </c>
      <c r="I11" s="17">
        <v>453959</v>
      </c>
      <c r="J11" s="70">
        <v>67739</v>
      </c>
      <c r="K11" s="19">
        <v>1431603</v>
      </c>
      <c r="L11">
        <v>2240955</v>
      </c>
      <c r="M11" s="16">
        <v>3128573</v>
      </c>
      <c r="N11" s="70">
        <v>82365</v>
      </c>
      <c r="O11" s="9">
        <v>1487123</v>
      </c>
      <c r="P11" s="9">
        <v>3006267</v>
      </c>
      <c r="Q11" s="16">
        <v>3959958</v>
      </c>
      <c r="R11" s="71">
        <v>66763</v>
      </c>
      <c r="S11" s="19">
        <v>1373009</v>
      </c>
      <c r="T11" s="19">
        <v>2611023</v>
      </c>
      <c r="U11" s="16">
        <v>4071648</v>
      </c>
      <c r="V11" s="9"/>
      <c r="W11" s="9"/>
    </row>
    <row r="12" spans="1:23" x14ac:dyDescent="0.2">
      <c r="A12" s="20" t="s">
        <v>40</v>
      </c>
      <c r="B12" s="2">
        <v>107710</v>
      </c>
      <c r="C12" s="9">
        <v>158437</v>
      </c>
      <c r="D12" s="9">
        <v>91163</v>
      </c>
      <c r="E12" s="17">
        <v>57862</v>
      </c>
      <c r="F12" s="2">
        <v>82786</v>
      </c>
      <c r="G12" s="9">
        <v>163593</v>
      </c>
      <c r="H12" s="9">
        <v>162435</v>
      </c>
      <c r="I12" s="17">
        <v>188301</v>
      </c>
      <c r="J12" s="2">
        <v>67189</v>
      </c>
      <c r="K12" s="9">
        <v>14117</v>
      </c>
      <c r="L12">
        <v>162116</v>
      </c>
      <c r="M12" s="17">
        <v>172944</v>
      </c>
      <c r="N12" s="2">
        <v>79404</v>
      </c>
      <c r="O12" s="9">
        <v>134392</v>
      </c>
      <c r="P12" s="9">
        <v>185784</v>
      </c>
      <c r="Q12" s="17">
        <v>225352</v>
      </c>
      <c r="R12">
        <v>67994</v>
      </c>
      <c r="S12" s="9">
        <v>127794</v>
      </c>
      <c r="T12" s="9">
        <v>156476</v>
      </c>
      <c r="U12" s="17">
        <v>193515</v>
      </c>
      <c r="V12" s="9"/>
      <c r="W12" s="9"/>
    </row>
    <row r="13" spans="1:23" x14ac:dyDescent="0.2">
      <c r="A13" s="20" t="s">
        <v>41</v>
      </c>
      <c r="B13" s="22">
        <v>6869</v>
      </c>
      <c r="C13" s="9">
        <v>260927</v>
      </c>
      <c r="D13" s="9">
        <v>553319</v>
      </c>
      <c r="E13" s="17">
        <v>1847628</v>
      </c>
      <c r="F13" s="2">
        <v>22979</v>
      </c>
      <c r="G13" s="9">
        <v>275205</v>
      </c>
      <c r="H13" s="9">
        <v>387614</v>
      </c>
      <c r="I13" s="17">
        <v>270604</v>
      </c>
      <c r="J13" s="22">
        <v>70287</v>
      </c>
      <c r="K13" s="9">
        <v>777334</v>
      </c>
      <c r="L13">
        <v>1278192</v>
      </c>
      <c r="M13" s="17">
        <v>1765958</v>
      </c>
      <c r="N13" s="22">
        <v>16950</v>
      </c>
      <c r="O13" s="9">
        <v>784374</v>
      </c>
      <c r="P13" s="9">
        <v>1599188</v>
      </c>
      <c r="Q13" s="17">
        <v>2255532</v>
      </c>
      <c r="R13">
        <v>6718</v>
      </c>
      <c r="S13" s="9">
        <v>151818</v>
      </c>
      <c r="T13" s="9">
        <v>219279</v>
      </c>
      <c r="U13" s="17">
        <v>295875</v>
      </c>
      <c r="V13" s="9"/>
      <c r="W13" s="9"/>
    </row>
    <row r="14" spans="1:23" x14ac:dyDescent="0.2">
      <c r="A14" s="20" t="s">
        <v>42</v>
      </c>
      <c r="B14" s="2">
        <v>236649</v>
      </c>
      <c r="C14" s="9">
        <v>433937</v>
      </c>
      <c r="D14" s="9">
        <v>517547</v>
      </c>
      <c r="E14" s="17">
        <v>926546</v>
      </c>
      <c r="F14" s="2">
        <v>148107</v>
      </c>
      <c r="G14" s="9">
        <v>444301</v>
      </c>
      <c r="H14" s="9">
        <v>547549</v>
      </c>
      <c r="I14" s="17">
        <v>578858</v>
      </c>
      <c r="J14" s="2">
        <v>126288</v>
      </c>
      <c r="K14" s="9">
        <v>401635</v>
      </c>
      <c r="L14">
        <v>392164</v>
      </c>
      <c r="M14" s="17">
        <v>420115</v>
      </c>
      <c r="N14" s="2">
        <v>152178</v>
      </c>
      <c r="O14" s="9">
        <v>402642</v>
      </c>
      <c r="P14" s="9">
        <v>404090</v>
      </c>
      <c r="Q14" s="17">
        <v>374645</v>
      </c>
      <c r="R14">
        <v>127094</v>
      </c>
      <c r="S14" s="9">
        <v>534717</v>
      </c>
      <c r="T14" s="9">
        <v>640600</v>
      </c>
      <c r="U14" s="17">
        <v>746373</v>
      </c>
      <c r="V14" s="9"/>
      <c r="W14" s="9"/>
    </row>
    <row r="15" spans="1:23" x14ac:dyDescent="0.2">
      <c r="A15" s="20" t="s">
        <v>43</v>
      </c>
      <c r="B15" s="2">
        <v>35767</v>
      </c>
      <c r="C15" s="9">
        <v>70312</v>
      </c>
      <c r="D15" s="9">
        <v>45607</v>
      </c>
      <c r="E15" s="17">
        <v>55673</v>
      </c>
      <c r="F15" s="2">
        <v>36622</v>
      </c>
      <c r="G15" s="9">
        <v>46014</v>
      </c>
      <c r="H15" s="9">
        <v>26404</v>
      </c>
      <c r="I15" s="17">
        <v>2797</v>
      </c>
      <c r="J15" s="2">
        <v>66040</v>
      </c>
      <c r="K15" s="9">
        <v>85282</v>
      </c>
      <c r="L15">
        <v>61174</v>
      </c>
      <c r="M15" s="17">
        <v>64414</v>
      </c>
      <c r="N15" s="2">
        <v>39796</v>
      </c>
      <c r="O15" s="9">
        <v>74109</v>
      </c>
      <c r="P15" s="9">
        <v>75765</v>
      </c>
      <c r="Q15" s="17">
        <v>80236</v>
      </c>
      <c r="R15">
        <v>42941</v>
      </c>
      <c r="S15" s="9">
        <v>65106</v>
      </c>
      <c r="T15" s="9">
        <v>51393</v>
      </c>
      <c r="U15" s="17">
        <v>49295</v>
      </c>
      <c r="V15" s="9"/>
      <c r="W15" s="9"/>
    </row>
    <row r="16" spans="1:23" x14ac:dyDescent="0.2">
      <c r="A16" s="20" t="s">
        <v>44</v>
      </c>
      <c r="B16" s="2">
        <v>34084</v>
      </c>
      <c r="C16" s="9">
        <v>102420</v>
      </c>
      <c r="D16" s="9">
        <v>269130</v>
      </c>
      <c r="E16" s="17">
        <v>529352</v>
      </c>
      <c r="F16" s="2">
        <v>21942</v>
      </c>
      <c r="G16" s="9">
        <v>47280</v>
      </c>
      <c r="H16" s="9">
        <v>253920</v>
      </c>
      <c r="I16" s="17">
        <v>1017165</v>
      </c>
      <c r="J16" s="2">
        <v>40563</v>
      </c>
      <c r="K16" s="9">
        <v>64358</v>
      </c>
      <c r="L16">
        <v>74387</v>
      </c>
      <c r="M16" s="17">
        <v>76988</v>
      </c>
      <c r="N16" s="22">
        <v>15466</v>
      </c>
      <c r="O16" s="9">
        <v>35048</v>
      </c>
      <c r="P16" s="9">
        <v>46091</v>
      </c>
      <c r="Q16" s="17">
        <v>51474</v>
      </c>
      <c r="R16">
        <v>12680</v>
      </c>
      <c r="S16" s="9">
        <v>30388</v>
      </c>
      <c r="T16" s="9">
        <v>37231</v>
      </c>
      <c r="U16" s="17">
        <v>44216</v>
      </c>
      <c r="V16" s="9"/>
      <c r="W16" s="9"/>
    </row>
    <row r="17" spans="1:23" x14ac:dyDescent="0.2">
      <c r="A17" s="20" t="s">
        <v>45</v>
      </c>
      <c r="B17" s="22">
        <v>23785</v>
      </c>
      <c r="C17" s="9">
        <v>23936</v>
      </c>
      <c r="D17" s="9">
        <v>19952</v>
      </c>
      <c r="E17" s="17">
        <v>42165</v>
      </c>
      <c r="F17" s="2">
        <v>30348</v>
      </c>
      <c r="G17" s="9">
        <v>18858</v>
      </c>
      <c r="H17" s="9">
        <v>18718</v>
      </c>
      <c r="I17" s="17">
        <v>93040</v>
      </c>
      <c r="J17" s="2">
        <v>21104</v>
      </c>
      <c r="K17" s="9">
        <v>82063</v>
      </c>
      <c r="L17">
        <v>98639</v>
      </c>
      <c r="M17" s="17">
        <v>120867</v>
      </c>
      <c r="N17" s="2">
        <v>33957</v>
      </c>
      <c r="O17" s="9">
        <v>67693</v>
      </c>
      <c r="P17" s="9">
        <v>113556</v>
      </c>
      <c r="Q17" s="17">
        <v>129386</v>
      </c>
      <c r="R17">
        <v>11660</v>
      </c>
      <c r="S17" s="9">
        <v>55957</v>
      </c>
      <c r="T17" s="9">
        <v>44021</v>
      </c>
      <c r="U17" s="17">
        <v>57517</v>
      </c>
      <c r="V17" s="9"/>
      <c r="W17" s="9"/>
    </row>
    <row r="18" spans="1:23" x14ac:dyDescent="0.2">
      <c r="A18" s="23" t="s">
        <v>46</v>
      </c>
      <c r="B18" s="74">
        <v>5670700</v>
      </c>
      <c r="C18" s="24">
        <v>5365769</v>
      </c>
      <c r="D18" s="24">
        <v>5270628</v>
      </c>
      <c r="E18" s="25">
        <v>5333081</v>
      </c>
      <c r="F18" s="74">
        <v>5101285</v>
      </c>
      <c r="G18" s="24">
        <v>5304581</v>
      </c>
      <c r="H18" s="24">
        <v>5216200</v>
      </c>
      <c r="I18" s="25">
        <v>5172865</v>
      </c>
      <c r="J18" s="74">
        <v>5062824</v>
      </c>
      <c r="K18" s="24">
        <v>5218469</v>
      </c>
      <c r="L18" s="69">
        <v>5059104</v>
      </c>
      <c r="M18" s="25">
        <v>5149116</v>
      </c>
      <c r="N18" s="74">
        <v>5228153</v>
      </c>
      <c r="O18" s="24">
        <v>5272619</v>
      </c>
      <c r="P18" s="24">
        <v>5430133</v>
      </c>
      <c r="Q18" s="25">
        <v>5821304</v>
      </c>
      <c r="R18" s="75">
        <v>5039301</v>
      </c>
      <c r="S18" s="24">
        <v>5246880</v>
      </c>
      <c r="T18" s="24">
        <v>5045077</v>
      </c>
      <c r="U18" s="25">
        <v>5301847</v>
      </c>
      <c r="V18" s="9"/>
      <c r="W18" s="9"/>
    </row>
    <row r="19" spans="1:23" x14ac:dyDescent="0.2">
      <c r="A19" s="20" t="s">
        <v>47</v>
      </c>
      <c r="B19" s="2">
        <v>590395</v>
      </c>
      <c r="C19" s="9">
        <v>807487</v>
      </c>
      <c r="D19" s="9">
        <v>852494</v>
      </c>
      <c r="E19" s="17">
        <v>1267904</v>
      </c>
      <c r="F19" s="2">
        <v>572047</v>
      </c>
      <c r="G19" s="9">
        <v>722285</v>
      </c>
      <c r="H19" s="9">
        <v>695098</v>
      </c>
      <c r="I19" s="17">
        <v>1251543</v>
      </c>
      <c r="J19" s="2">
        <v>549923</v>
      </c>
      <c r="K19" s="9">
        <v>777703</v>
      </c>
      <c r="L19">
        <v>721850</v>
      </c>
      <c r="M19" s="17">
        <v>779468</v>
      </c>
      <c r="N19" s="2">
        <v>590450</v>
      </c>
      <c r="O19" s="9">
        <v>709701</v>
      </c>
      <c r="P19" s="9">
        <v>833152</v>
      </c>
      <c r="Q19" s="17">
        <v>864962</v>
      </c>
      <c r="R19">
        <v>485178</v>
      </c>
      <c r="S19" s="9">
        <v>728959</v>
      </c>
      <c r="T19" s="9">
        <v>728302</v>
      </c>
      <c r="U19" s="17">
        <v>804209</v>
      </c>
      <c r="V19" s="9"/>
      <c r="W19" s="9"/>
    </row>
    <row r="20" spans="1:23" x14ac:dyDescent="0.2">
      <c r="A20" s="20" t="s">
        <v>48</v>
      </c>
      <c r="B20" s="2">
        <v>20645</v>
      </c>
      <c r="C20" s="9">
        <v>11803</v>
      </c>
      <c r="D20" s="9">
        <v>8424</v>
      </c>
      <c r="E20" s="17">
        <v>65618</v>
      </c>
      <c r="F20" s="2">
        <v>16963</v>
      </c>
      <c r="G20" s="9">
        <v>33605</v>
      </c>
      <c r="H20" s="9">
        <v>8686</v>
      </c>
      <c r="I20" s="17">
        <v>44624</v>
      </c>
      <c r="J20" s="2">
        <v>13138</v>
      </c>
      <c r="K20" s="9">
        <v>40909</v>
      </c>
      <c r="L20" s="9">
        <v>32238</v>
      </c>
      <c r="M20" s="17">
        <v>21430</v>
      </c>
      <c r="N20" s="2">
        <v>13255</v>
      </c>
      <c r="O20" s="9">
        <v>32701</v>
      </c>
      <c r="P20" s="9">
        <v>35664</v>
      </c>
      <c r="Q20" s="17">
        <v>32675</v>
      </c>
      <c r="R20">
        <v>10312</v>
      </c>
      <c r="S20" s="9">
        <v>24816</v>
      </c>
      <c r="T20" s="9">
        <v>30971</v>
      </c>
      <c r="U20" s="17">
        <v>34204</v>
      </c>
      <c r="V20" s="9"/>
      <c r="W20" s="9"/>
    </row>
    <row r="21" spans="1:23" x14ac:dyDescent="0.2">
      <c r="A21" s="26" t="s">
        <v>49</v>
      </c>
      <c r="B21" s="68">
        <v>26012</v>
      </c>
      <c r="C21" s="28">
        <v>29371</v>
      </c>
      <c r="D21" s="28">
        <v>30766</v>
      </c>
      <c r="E21" s="29">
        <v>40691</v>
      </c>
      <c r="F21" s="68">
        <v>21375</v>
      </c>
      <c r="G21" s="28">
        <v>24092</v>
      </c>
      <c r="H21" s="28">
        <v>21945</v>
      </c>
      <c r="I21" s="29">
        <v>206646</v>
      </c>
      <c r="J21" s="68">
        <v>22059</v>
      </c>
      <c r="K21" s="28">
        <v>56077</v>
      </c>
      <c r="L21" s="28">
        <v>55521</v>
      </c>
      <c r="M21" s="29">
        <v>56343</v>
      </c>
      <c r="N21" s="68">
        <v>22275</v>
      </c>
      <c r="O21" s="28">
        <v>59660</v>
      </c>
      <c r="P21" s="28">
        <v>71259</v>
      </c>
      <c r="Q21" s="29">
        <v>74851</v>
      </c>
      <c r="R21" s="77">
        <v>17925</v>
      </c>
      <c r="S21" s="28">
        <v>63379</v>
      </c>
      <c r="T21" s="28">
        <v>64145</v>
      </c>
      <c r="U21" s="29">
        <v>70932</v>
      </c>
      <c r="V21" s="9"/>
      <c r="W21" s="9"/>
    </row>
    <row r="22" spans="1:23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spans="1:23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 spans="1:23" ht="16" x14ac:dyDescent="0.2">
      <c r="A24" s="9"/>
      <c r="B24" s="124" t="s">
        <v>50</v>
      </c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9"/>
      <c r="W24" s="9"/>
    </row>
    <row r="25" spans="1:23" ht="16" x14ac:dyDescent="0.2">
      <c r="A25" s="9"/>
      <c r="B25" s="13" t="str">
        <f t="shared" ref="B25:U25" si="0">B10</f>
        <v>A_0h</v>
      </c>
      <c r="C25" s="13" t="str">
        <f t="shared" si="0"/>
        <v>A_12h</v>
      </c>
      <c r="D25" s="13" t="str">
        <f t="shared" si="0"/>
        <v>A_24h</v>
      </c>
      <c r="E25" s="13" t="str">
        <f t="shared" si="0"/>
        <v>A_48h</v>
      </c>
      <c r="F25" s="13" t="str">
        <f t="shared" si="0"/>
        <v>B_0h</v>
      </c>
      <c r="G25" s="13" t="str">
        <f t="shared" si="0"/>
        <v>B_12h</v>
      </c>
      <c r="H25" s="13" t="str">
        <f t="shared" si="0"/>
        <v>B_24h</v>
      </c>
      <c r="I25" s="13" t="str">
        <f t="shared" si="0"/>
        <v>B_48h</v>
      </c>
      <c r="J25" s="13" t="str">
        <f t="shared" si="0"/>
        <v>C_0h</v>
      </c>
      <c r="K25" s="13" t="str">
        <f t="shared" si="0"/>
        <v>C_12h</v>
      </c>
      <c r="L25" s="13" t="str">
        <f t="shared" si="0"/>
        <v>C_24h</v>
      </c>
      <c r="M25" s="13" t="str">
        <f t="shared" si="0"/>
        <v>C_48h</v>
      </c>
      <c r="N25" s="13" t="str">
        <f t="shared" si="0"/>
        <v>D_0h</v>
      </c>
      <c r="O25" s="13" t="str">
        <f t="shared" si="0"/>
        <v>D_12h</v>
      </c>
      <c r="P25" s="13" t="str">
        <f t="shared" si="0"/>
        <v>D_24h</v>
      </c>
      <c r="Q25" s="13" t="str">
        <f t="shared" si="0"/>
        <v>D_48h</v>
      </c>
      <c r="R25" s="13" t="str">
        <f t="shared" si="0"/>
        <v>E_0h</v>
      </c>
      <c r="S25" s="13" t="str">
        <f t="shared" si="0"/>
        <v>E_12h</v>
      </c>
      <c r="T25" s="13" t="str">
        <f t="shared" si="0"/>
        <v>E_24h</v>
      </c>
      <c r="U25" s="13" t="str">
        <f t="shared" si="0"/>
        <v>E_48h</v>
      </c>
      <c r="V25" s="9"/>
      <c r="W25" s="9"/>
    </row>
    <row r="26" spans="1:23" x14ac:dyDescent="0.2">
      <c r="A26" s="15" t="s">
        <v>39</v>
      </c>
      <c r="B26" s="18">
        <f>B11/$B$18</f>
        <v>1.6362177508949513E-2</v>
      </c>
      <c r="C26" s="19">
        <f t="shared" ref="C26:C36" si="1">C11/$C$18</f>
        <v>8.7472270982966283E-2</v>
      </c>
      <c r="D26" s="19">
        <f t="shared" ref="D26:D36" si="2">D11/$D$18</f>
        <v>0.20380284854100877</v>
      </c>
      <c r="E26" s="16">
        <f t="shared" ref="E26:E36" si="3">E11/$E$18</f>
        <v>0.49280744095205004</v>
      </c>
      <c r="F26" s="19">
        <f t="shared" ref="F26:F36" si="4">F11/$F$18</f>
        <v>1.7263493413914338E-2</v>
      </c>
      <c r="G26" s="19">
        <f t="shared" ref="G26:G36" si="5">G11/$G$18</f>
        <v>0.1396138545155593</v>
      </c>
      <c r="H26" s="19">
        <f t="shared" ref="H26:H36" si="6">H11/$H$18</f>
        <v>0.10993616042329665</v>
      </c>
      <c r="I26" s="19">
        <f t="shared" ref="I26:I36" si="7">I11/$I$18</f>
        <v>8.7757751265497938E-2</v>
      </c>
      <c r="J26" s="18">
        <f t="shared" ref="J26:J36" si="8">J11/$J$18</f>
        <v>1.3379686909914309E-2</v>
      </c>
      <c r="K26" s="19">
        <f t="shared" ref="K26:K36" si="9">K11/$K$18</f>
        <v>0.27433390904497085</v>
      </c>
      <c r="L26" s="19">
        <f t="shared" ref="L26:L36" si="10">L11/$L$18</f>
        <v>0.44295491849940227</v>
      </c>
      <c r="M26" s="16">
        <f t="shared" ref="M26:M36" si="11">M11/$M$18</f>
        <v>0.60759419675144233</v>
      </c>
      <c r="N26" s="31">
        <f t="shared" ref="N26:N36" si="12">N11/$N$18</f>
        <v>1.5754129613268778E-2</v>
      </c>
      <c r="O26" s="31">
        <f t="shared" ref="O26:O36" si="13">O11/$O$18</f>
        <v>0.28204636064164695</v>
      </c>
      <c r="P26" s="19">
        <f t="shared" ref="P26:P36" si="14">P11/$P$18</f>
        <v>0.55362677120431492</v>
      </c>
      <c r="Q26" s="19">
        <f t="shared" ref="Q26:Q36" si="15">Q11/$Q$18</f>
        <v>0.68025274062306318</v>
      </c>
      <c r="R26" s="18">
        <f t="shared" ref="R26:R36" si="16">R11/$R$18</f>
        <v>1.3248464419966181E-2</v>
      </c>
      <c r="S26" s="19">
        <f t="shared" ref="S26:S36" si="17">S11/$S$18</f>
        <v>0.2616810371115787</v>
      </c>
      <c r="T26" s="19">
        <f t="shared" ref="T26:T36" si="18">T11/$T$18</f>
        <v>0.51753878087490046</v>
      </c>
      <c r="U26" s="16">
        <f t="shared" ref="U26:U36" si="19">U11/$U$18</f>
        <v>0.7679678421501035</v>
      </c>
      <c r="V26" s="9"/>
      <c r="W26" s="9"/>
    </row>
    <row r="27" spans="1:23" x14ac:dyDescent="0.2">
      <c r="A27" s="20" t="s">
        <v>40</v>
      </c>
      <c r="B27" s="22">
        <f t="shared" ref="B27:B36" si="20">B12/$B$18</f>
        <v>1.899412770910117E-2</v>
      </c>
      <c r="C27" s="9">
        <f t="shared" si="1"/>
        <v>2.952736131577785E-2</v>
      </c>
      <c r="D27" s="9">
        <f t="shared" si="2"/>
        <v>1.7296420843967739E-2</v>
      </c>
      <c r="E27" s="17">
        <f t="shared" si="3"/>
        <v>1.0849638323513182E-2</v>
      </c>
      <c r="F27" s="9">
        <f t="shared" si="4"/>
        <v>1.6228460084076857E-2</v>
      </c>
      <c r="G27" s="9">
        <f t="shared" si="5"/>
        <v>3.0839947584927065E-2</v>
      </c>
      <c r="H27" s="9">
        <f t="shared" si="6"/>
        <v>3.1140485410835476E-2</v>
      </c>
      <c r="I27" s="9">
        <f t="shared" si="7"/>
        <v>3.6401684559716908E-2</v>
      </c>
      <c r="J27" s="22">
        <f t="shared" si="8"/>
        <v>1.3271051887247117E-2</v>
      </c>
      <c r="K27" s="9">
        <f t="shared" si="9"/>
        <v>2.7051995518225748E-3</v>
      </c>
      <c r="L27" s="9">
        <f t="shared" si="10"/>
        <v>3.2044409444834498E-2</v>
      </c>
      <c r="M27" s="32">
        <f t="shared" si="11"/>
        <v>3.3587124469520592E-2</v>
      </c>
      <c r="N27" s="9">
        <f t="shared" si="12"/>
        <v>1.5187772813840757E-2</v>
      </c>
      <c r="O27" s="33">
        <f t="shared" si="13"/>
        <v>2.5488661327511052E-2</v>
      </c>
      <c r="P27" s="9">
        <f t="shared" si="14"/>
        <v>3.4213526630010718E-2</v>
      </c>
      <c r="Q27" s="9">
        <f t="shared" si="15"/>
        <v>3.8711601386905749E-2</v>
      </c>
      <c r="R27" s="22">
        <f t="shared" si="16"/>
        <v>1.34927443310094E-2</v>
      </c>
      <c r="S27" s="9">
        <f t="shared" si="17"/>
        <v>2.4356188820784924E-2</v>
      </c>
      <c r="T27" s="9">
        <f t="shared" si="18"/>
        <v>3.1015582120946815E-2</v>
      </c>
      <c r="U27" s="17">
        <f t="shared" si="19"/>
        <v>3.649954440405391E-2</v>
      </c>
      <c r="V27" s="9"/>
      <c r="W27" s="9"/>
    </row>
    <row r="28" spans="1:23" x14ac:dyDescent="0.2">
      <c r="A28" s="20" t="s">
        <v>41</v>
      </c>
      <c r="B28" s="22">
        <f t="shared" si="20"/>
        <v>1.2113142998218915E-3</v>
      </c>
      <c r="C28" s="9">
        <f t="shared" si="1"/>
        <v>4.8628071763804966E-2</v>
      </c>
      <c r="D28" s="9">
        <f t="shared" si="2"/>
        <v>0.10498160750483623</v>
      </c>
      <c r="E28" s="17">
        <f t="shared" si="3"/>
        <v>0.34644664125671448</v>
      </c>
      <c r="F28" s="33">
        <f t="shared" si="4"/>
        <v>4.5045513042302086E-3</v>
      </c>
      <c r="G28" s="33">
        <f t="shared" si="5"/>
        <v>5.1880629214635425E-2</v>
      </c>
      <c r="H28" s="9">
        <f t="shared" si="6"/>
        <v>7.4309650703577312E-2</v>
      </c>
      <c r="I28" s="9">
        <f t="shared" si="7"/>
        <v>5.231220996488406E-2</v>
      </c>
      <c r="J28" s="22">
        <f t="shared" si="8"/>
        <v>1.388296334219795E-2</v>
      </c>
      <c r="K28" s="9">
        <f t="shared" si="9"/>
        <v>0.14895824809920305</v>
      </c>
      <c r="L28" s="9">
        <f t="shared" si="10"/>
        <v>0.2526518529763373</v>
      </c>
      <c r="M28" s="17">
        <f t="shared" si="11"/>
        <v>0.34296333584250188</v>
      </c>
      <c r="N28" s="9">
        <f t="shared" si="12"/>
        <v>3.2420627322880566E-3</v>
      </c>
      <c r="O28" s="9">
        <f t="shared" si="13"/>
        <v>0.14876364099131759</v>
      </c>
      <c r="P28" s="9">
        <f t="shared" si="14"/>
        <v>0.29450254717517971</v>
      </c>
      <c r="Q28" s="9">
        <f t="shared" si="15"/>
        <v>0.38746164089695367</v>
      </c>
      <c r="R28" s="22">
        <f t="shared" si="16"/>
        <v>1.3331213991781797E-3</v>
      </c>
      <c r="S28" s="9">
        <f t="shared" si="17"/>
        <v>2.8934909889305645E-2</v>
      </c>
      <c r="T28" s="9">
        <f t="shared" si="18"/>
        <v>4.3463955059556081E-2</v>
      </c>
      <c r="U28" s="17">
        <f t="shared" si="19"/>
        <v>5.580602382528202E-2</v>
      </c>
      <c r="V28" s="9"/>
      <c r="W28" s="9"/>
    </row>
    <row r="29" spans="1:23" x14ac:dyDescent="0.2">
      <c r="A29" s="20" t="s">
        <v>42</v>
      </c>
      <c r="B29" s="22">
        <f t="shared" si="20"/>
        <v>4.1731884952475005E-2</v>
      </c>
      <c r="C29" s="9">
        <f t="shared" si="1"/>
        <v>8.0871353202122562E-2</v>
      </c>
      <c r="D29" s="9">
        <f t="shared" si="2"/>
        <v>9.8194560496396258E-2</v>
      </c>
      <c r="E29" s="17">
        <f t="shared" si="3"/>
        <v>0.17373559486533208</v>
      </c>
      <c r="F29" s="9">
        <f t="shared" si="4"/>
        <v>2.90332729890606E-2</v>
      </c>
      <c r="G29" s="9">
        <f t="shared" si="5"/>
        <v>8.3757982015921703E-2</v>
      </c>
      <c r="H29" s="9">
        <f t="shared" si="6"/>
        <v>0.10497086001303631</v>
      </c>
      <c r="I29" s="9">
        <f t="shared" si="7"/>
        <v>0.11190278501372064</v>
      </c>
      <c r="J29" s="22">
        <f t="shared" si="8"/>
        <v>2.4944181350171367E-2</v>
      </c>
      <c r="K29" s="9">
        <f t="shared" si="9"/>
        <v>7.6964144081338795E-2</v>
      </c>
      <c r="L29" s="9">
        <f t="shared" si="10"/>
        <v>7.7516493039083603E-2</v>
      </c>
      <c r="M29" s="17">
        <f t="shared" si="11"/>
        <v>8.1589733072628387E-2</v>
      </c>
      <c r="N29" s="9">
        <f t="shared" si="12"/>
        <v>2.910741135540601E-2</v>
      </c>
      <c r="O29" s="9">
        <f t="shared" si="13"/>
        <v>7.6364706040774041E-2</v>
      </c>
      <c r="P29" s="9">
        <f t="shared" si="14"/>
        <v>7.4416225164282354E-2</v>
      </c>
      <c r="Q29" s="9">
        <f t="shared" si="15"/>
        <v>6.4357573492124787E-2</v>
      </c>
      <c r="R29" s="22">
        <f t="shared" si="16"/>
        <v>2.5220561343726043E-2</v>
      </c>
      <c r="S29" s="9">
        <f t="shared" si="17"/>
        <v>0.10191142164486323</v>
      </c>
      <c r="T29" s="33">
        <f t="shared" si="18"/>
        <v>0.12697526717629878</v>
      </c>
      <c r="U29" s="17">
        <f t="shared" si="19"/>
        <v>0.14077603521942447</v>
      </c>
      <c r="V29" s="9"/>
      <c r="W29" s="9"/>
    </row>
    <row r="30" spans="1:23" x14ac:dyDescent="0.2">
      <c r="A30" s="20" t="s">
        <v>43</v>
      </c>
      <c r="B30" s="22">
        <f t="shared" si="20"/>
        <v>6.3073341915460173E-3</v>
      </c>
      <c r="C30" s="9">
        <f t="shared" si="1"/>
        <v>1.310380674233274E-2</v>
      </c>
      <c r="D30" s="9">
        <f t="shared" si="2"/>
        <v>8.6530485551247396E-3</v>
      </c>
      <c r="E30" s="17">
        <f t="shared" si="3"/>
        <v>1.0439181403770165E-2</v>
      </c>
      <c r="F30" s="9">
        <f t="shared" si="4"/>
        <v>7.1789754934295964E-3</v>
      </c>
      <c r="G30" s="9">
        <f t="shared" si="5"/>
        <v>8.674389174187367E-3</v>
      </c>
      <c r="H30" s="9">
        <f t="shared" si="6"/>
        <v>5.0619224722978414E-3</v>
      </c>
      <c r="I30" s="33">
        <f t="shared" si="7"/>
        <v>5.4070616573214259E-4</v>
      </c>
      <c r="J30" s="34">
        <f t="shared" si="8"/>
        <v>1.3044103448984204E-2</v>
      </c>
      <c r="K30" s="9">
        <f t="shared" si="9"/>
        <v>1.6342341019942822E-2</v>
      </c>
      <c r="L30" s="9">
        <f t="shared" si="10"/>
        <v>1.209186448825721E-2</v>
      </c>
      <c r="M30" s="17">
        <f t="shared" si="11"/>
        <v>1.2509720115064411E-2</v>
      </c>
      <c r="N30" s="9">
        <f t="shared" si="12"/>
        <v>7.6118659878546017E-3</v>
      </c>
      <c r="O30" s="9">
        <f t="shared" si="13"/>
        <v>1.4055443793682039E-2</v>
      </c>
      <c r="P30" s="9">
        <f t="shared" si="14"/>
        <v>1.3952696922893049E-2</v>
      </c>
      <c r="Q30" s="9">
        <f t="shared" si="15"/>
        <v>1.3783166108487033E-2</v>
      </c>
      <c r="R30" s="22">
        <f t="shared" si="16"/>
        <v>8.5212214948065211E-3</v>
      </c>
      <c r="S30" s="9">
        <f t="shared" si="17"/>
        <v>1.2408517061568017E-2</v>
      </c>
      <c r="T30" s="9">
        <f t="shared" si="18"/>
        <v>1.0186762263489735E-2</v>
      </c>
      <c r="U30" s="17">
        <f t="shared" si="19"/>
        <v>9.2977032343634202E-3</v>
      </c>
      <c r="V30" s="9"/>
      <c r="W30" s="9"/>
    </row>
    <row r="31" spans="1:23" x14ac:dyDescent="0.2">
      <c r="A31" s="20" t="s">
        <v>44</v>
      </c>
      <c r="B31" s="22">
        <f t="shared" si="20"/>
        <v>6.0105454353078106E-3</v>
      </c>
      <c r="C31" s="9">
        <f t="shared" si="1"/>
        <v>1.9087664787656718E-2</v>
      </c>
      <c r="D31" s="9">
        <f t="shared" si="2"/>
        <v>5.1062226360881473E-2</v>
      </c>
      <c r="E31" s="17">
        <f t="shared" si="3"/>
        <v>9.9258196153405504E-2</v>
      </c>
      <c r="F31" s="9">
        <f t="shared" si="4"/>
        <v>4.3012691900178096E-3</v>
      </c>
      <c r="G31" s="9">
        <f t="shared" si="5"/>
        <v>8.9130508140039706E-3</v>
      </c>
      <c r="H31" s="9">
        <f t="shared" si="6"/>
        <v>4.8679115064606419E-2</v>
      </c>
      <c r="I31" s="9">
        <f t="shared" si="7"/>
        <v>0.19663474689557914</v>
      </c>
      <c r="J31" s="22">
        <f t="shared" si="8"/>
        <v>8.0119316808168715E-3</v>
      </c>
      <c r="K31" s="9">
        <f t="shared" si="9"/>
        <v>1.2332735903959571E-2</v>
      </c>
      <c r="L31" s="9">
        <f t="shared" si="10"/>
        <v>1.4703591782260259E-2</v>
      </c>
      <c r="M31" s="17">
        <f t="shared" si="11"/>
        <v>1.4951692678898669E-2</v>
      </c>
      <c r="N31" s="33">
        <f t="shared" si="12"/>
        <v>2.9582148800924532E-3</v>
      </c>
      <c r="O31" s="33">
        <f t="shared" si="13"/>
        <v>6.6471709789764823E-3</v>
      </c>
      <c r="P31" s="9">
        <f t="shared" si="14"/>
        <v>8.4880057265632348E-3</v>
      </c>
      <c r="Q31" s="9">
        <f t="shared" si="15"/>
        <v>8.8423487246156538E-3</v>
      </c>
      <c r="R31" s="22">
        <f t="shared" si="16"/>
        <v>2.5162219918992731E-3</v>
      </c>
      <c r="S31" s="9">
        <f t="shared" si="17"/>
        <v>5.7916323605647548E-3</v>
      </c>
      <c r="T31" s="9">
        <f t="shared" si="18"/>
        <v>7.3796693291301599E-3</v>
      </c>
      <c r="U31" s="17">
        <f t="shared" si="19"/>
        <v>8.3397351903968554E-3</v>
      </c>
      <c r="V31" s="9"/>
      <c r="W31" s="9"/>
    </row>
    <row r="32" spans="1:23" x14ac:dyDescent="0.2">
      <c r="A32" s="20" t="s">
        <v>45</v>
      </c>
      <c r="B32" s="22">
        <f t="shared" si="20"/>
        <v>4.1943675383991396E-3</v>
      </c>
      <c r="C32" s="33">
        <f t="shared" si="1"/>
        <v>4.4608703803685921E-3</v>
      </c>
      <c r="D32" s="9">
        <f t="shared" si="2"/>
        <v>3.7855071539862045E-3</v>
      </c>
      <c r="E32" s="17">
        <f t="shared" si="3"/>
        <v>7.9063115673660318E-3</v>
      </c>
      <c r="F32" s="9">
        <f t="shared" si="4"/>
        <v>5.9490892980886192E-3</v>
      </c>
      <c r="G32" s="9">
        <f t="shared" si="5"/>
        <v>3.5550404452302643E-3</v>
      </c>
      <c r="H32" s="9">
        <f t="shared" si="6"/>
        <v>3.5884360262259884E-3</v>
      </c>
      <c r="I32" s="33">
        <f t="shared" si="7"/>
        <v>1.7986164340264052E-2</v>
      </c>
      <c r="J32" s="22">
        <f t="shared" si="8"/>
        <v>4.168424578851645E-3</v>
      </c>
      <c r="K32" s="33">
        <f t="shared" si="9"/>
        <v>1.5725493434951898E-2</v>
      </c>
      <c r="L32" s="9">
        <f t="shared" si="10"/>
        <v>1.9497326008716169E-2</v>
      </c>
      <c r="M32" s="17">
        <f t="shared" si="11"/>
        <v>2.3473349600203218E-2</v>
      </c>
      <c r="N32" s="9">
        <f t="shared" si="12"/>
        <v>6.4950279764192055E-3</v>
      </c>
      <c r="O32" s="9">
        <f t="shared" si="13"/>
        <v>1.2838591220036949E-2</v>
      </c>
      <c r="P32" s="9">
        <f t="shared" si="14"/>
        <v>2.0912194968336871E-2</v>
      </c>
      <c r="Q32" s="33">
        <f t="shared" si="15"/>
        <v>2.2226291566288241E-2</v>
      </c>
      <c r="R32" s="22">
        <f t="shared" si="16"/>
        <v>2.313812967314316E-3</v>
      </c>
      <c r="S32" s="9">
        <f t="shared" si="17"/>
        <v>1.0664814137163419E-2</v>
      </c>
      <c r="T32" s="9">
        <f t="shared" si="18"/>
        <v>8.7255358045080379E-3</v>
      </c>
      <c r="U32" s="17">
        <f t="shared" si="19"/>
        <v>1.0848483556768047E-2</v>
      </c>
      <c r="V32" s="9"/>
      <c r="W32" s="9"/>
    </row>
    <row r="33" spans="1:23" x14ac:dyDescent="0.2">
      <c r="A33" s="20" t="s">
        <v>46</v>
      </c>
      <c r="B33" s="35">
        <f t="shared" si="20"/>
        <v>1</v>
      </c>
      <c r="C33" s="9">
        <f t="shared" si="1"/>
        <v>1</v>
      </c>
      <c r="D33" s="9">
        <f t="shared" si="2"/>
        <v>1</v>
      </c>
      <c r="E33" s="17">
        <f t="shared" si="3"/>
        <v>1</v>
      </c>
      <c r="F33" s="9">
        <f t="shared" si="4"/>
        <v>1</v>
      </c>
      <c r="G33" s="9">
        <f t="shared" si="5"/>
        <v>1</v>
      </c>
      <c r="H33" s="36">
        <f t="shared" si="6"/>
        <v>1</v>
      </c>
      <c r="I33" s="9">
        <f t="shared" si="7"/>
        <v>1</v>
      </c>
      <c r="J33" s="22">
        <f t="shared" si="8"/>
        <v>1</v>
      </c>
      <c r="K33" s="36">
        <f t="shared" si="9"/>
        <v>1</v>
      </c>
      <c r="L33" s="9">
        <f t="shared" si="10"/>
        <v>1</v>
      </c>
      <c r="M33" s="17">
        <f t="shared" si="11"/>
        <v>1</v>
      </c>
      <c r="N33" s="9">
        <f t="shared" si="12"/>
        <v>1</v>
      </c>
      <c r="O33" s="9">
        <f t="shared" si="13"/>
        <v>1</v>
      </c>
      <c r="P33" s="9">
        <f t="shared" si="14"/>
        <v>1</v>
      </c>
      <c r="Q33" s="9">
        <f t="shared" si="15"/>
        <v>1</v>
      </c>
      <c r="R33" s="22">
        <f t="shared" si="16"/>
        <v>1</v>
      </c>
      <c r="S33" s="9">
        <f t="shared" si="17"/>
        <v>1</v>
      </c>
      <c r="T33" s="9">
        <f t="shared" si="18"/>
        <v>1</v>
      </c>
      <c r="U33" s="17">
        <f t="shared" si="19"/>
        <v>1</v>
      </c>
      <c r="V33" s="9"/>
      <c r="W33" s="9"/>
    </row>
    <row r="34" spans="1:23" x14ac:dyDescent="0.2">
      <c r="A34" s="20" t="s">
        <v>47</v>
      </c>
      <c r="B34" s="22">
        <f t="shared" si="20"/>
        <v>0.10411324880526214</v>
      </c>
      <c r="C34" s="9">
        <f t="shared" si="1"/>
        <v>0.15048858793585784</v>
      </c>
      <c r="D34" s="9">
        <f t="shared" si="2"/>
        <v>0.1617442930899316</v>
      </c>
      <c r="E34" s="17">
        <f t="shared" si="3"/>
        <v>0.23774324822743176</v>
      </c>
      <c r="F34" s="9">
        <f t="shared" si="4"/>
        <v>0.11213782409726177</v>
      </c>
      <c r="G34" s="9">
        <f t="shared" si="5"/>
        <v>0.136162498037074</v>
      </c>
      <c r="H34" s="9">
        <f t="shared" si="6"/>
        <v>0.13325754380583565</v>
      </c>
      <c r="I34" s="9">
        <f t="shared" si="7"/>
        <v>0.24194387442935394</v>
      </c>
      <c r="J34" s="22">
        <f t="shared" si="8"/>
        <v>0.10861981376401787</v>
      </c>
      <c r="K34" s="9">
        <f t="shared" si="9"/>
        <v>0.14902895849338188</v>
      </c>
      <c r="L34" s="9">
        <f t="shared" si="10"/>
        <v>0.14268336843836379</v>
      </c>
      <c r="M34" s="17">
        <f t="shared" si="11"/>
        <v>0.15137899398654059</v>
      </c>
      <c r="N34" s="33">
        <f t="shared" si="12"/>
        <v>0.11293663364480726</v>
      </c>
      <c r="O34" s="33">
        <f t="shared" si="13"/>
        <v>0.13460122948386752</v>
      </c>
      <c r="P34" s="9">
        <f t="shared" si="14"/>
        <v>0.15343123271566275</v>
      </c>
      <c r="Q34" s="9">
        <f t="shared" si="15"/>
        <v>0.14858560899757167</v>
      </c>
      <c r="R34" s="22">
        <f t="shared" si="16"/>
        <v>9.6278829147137673E-2</v>
      </c>
      <c r="S34" s="9">
        <f t="shared" si="17"/>
        <v>0.13893189857591559</v>
      </c>
      <c r="T34" s="9">
        <f t="shared" si="18"/>
        <v>0.14435894635503085</v>
      </c>
      <c r="U34" s="17">
        <f t="shared" si="19"/>
        <v>0.15168468648755801</v>
      </c>
      <c r="V34" s="9"/>
      <c r="W34" s="9"/>
    </row>
    <row r="35" spans="1:23" x14ac:dyDescent="0.2">
      <c r="A35" s="20" t="s">
        <v>48</v>
      </c>
      <c r="B35" s="34">
        <f t="shared" si="20"/>
        <v>3.640644012203079E-3</v>
      </c>
      <c r="C35" s="9">
        <f t="shared" si="1"/>
        <v>2.1996847050255054E-3</v>
      </c>
      <c r="D35" s="9">
        <f t="shared" si="2"/>
        <v>1.5982915128899251E-3</v>
      </c>
      <c r="E35" s="17">
        <f t="shared" si="3"/>
        <v>1.2303957130971759E-2</v>
      </c>
      <c r="F35" s="33">
        <f t="shared" si="4"/>
        <v>3.3252406011426532E-3</v>
      </c>
      <c r="G35" s="9">
        <f t="shared" si="5"/>
        <v>6.3350903681176707E-3</v>
      </c>
      <c r="H35" s="9">
        <f t="shared" si="6"/>
        <v>1.6651968866224455E-3</v>
      </c>
      <c r="I35" s="9">
        <f t="shared" si="7"/>
        <v>8.6265541435935414E-3</v>
      </c>
      <c r="J35" s="22">
        <f t="shared" si="8"/>
        <v>2.5949944141846525E-3</v>
      </c>
      <c r="K35" s="9">
        <f t="shared" si="9"/>
        <v>7.8392723996252543E-3</v>
      </c>
      <c r="L35" s="9">
        <f t="shared" si="10"/>
        <v>6.3722746162166262E-3</v>
      </c>
      <c r="M35" s="17">
        <f t="shared" si="11"/>
        <v>4.1618794371694095E-3</v>
      </c>
      <c r="N35" s="9">
        <f t="shared" si="12"/>
        <v>2.5353121838630199E-3</v>
      </c>
      <c r="O35" s="9">
        <f t="shared" si="13"/>
        <v>6.2020411488104867E-3</v>
      </c>
      <c r="P35" s="9">
        <f t="shared" si="14"/>
        <v>6.5677949324629802E-3</v>
      </c>
      <c r="Q35" s="9">
        <f t="shared" si="15"/>
        <v>5.6130035469716061E-3</v>
      </c>
      <c r="R35" s="22">
        <f t="shared" si="16"/>
        <v>2.0463155505098824E-3</v>
      </c>
      <c r="S35" s="9">
        <f t="shared" si="17"/>
        <v>4.7296679169334917E-3</v>
      </c>
      <c r="T35" s="9">
        <f t="shared" si="18"/>
        <v>6.1388557597832497E-3</v>
      </c>
      <c r="U35" s="17">
        <f t="shared" si="19"/>
        <v>6.4513366756905662E-3</v>
      </c>
      <c r="V35" s="9"/>
      <c r="W35" s="9"/>
    </row>
    <row r="36" spans="1:23" x14ac:dyDescent="0.2">
      <c r="A36" s="26" t="s">
        <v>49</v>
      </c>
      <c r="B36" s="27">
        <f t="shared" si="20"/>
        <v>4.5870880138254534E-3</v>
      </c>
      <c r="C36" s="28">
        <f t="shared" si="1"/>
        <v>5.4737727248414907E-3</v>
      </c>
      <c r="D36" s="28">
        <f t="shared" si="2"/>
        <v>5.8372550671381097E-3</v>
      </c>
      <c r="E36" s="29">
        <f t="shared" si="3"/>
        <v>7.6299234907551564E-3</v>
      </c>
      <c r="F36" s="28">
        <f t="shared" si="4"/>
        <v>4.1901207244841249E-3</v>
      </c>
      <c r="G36" s="28">
        <f t="shared" si="5"/>
        <v>4.5417347760360336E-3</v>
      </c>
      <c r="H36" s="28">
        <f t="shared" si="6"/>
        <v>4.2070856178827495E-3</v>
      </c>
      <c r="I36" s="28">
        <f t="shared" si="7"/>
        <v>3.9948075196240385E-2</v>
      </c>
      <c r="J36" s="27">
        <f t="shared" si="8"/>
        <v>4.357054481846495E-3</v>
      </c>
      <c r="K36" s="28">
        <f t="shared" si="9"/>
        <v>1.0745872017252569E-2</v>
      </c>
      <c r="L36" s="28">
        <f t="shared" si="10"/>
        <v>1.0974472950150856E-2</v>
      </c>
      <c r="M36" s="29">
        <f t="shared" si="11"/>
        <v>1.0942266594887355E-2</v>
      </c>
      <c r="N36" s="28">
        <f t="shared" si="12"/>
        <v>4.2605868649980214E-3</v>
      </c>
      <c r="O36" s="28">
        <f t="shared" si="13"/>
        <v>1.1315059935110047E-2</v>
      </c>
      <c r="P36" s="28">
        <f t="shared" si="14"/>
        <v>1.3122882993841956E-2</v>
      </c>
      <c r="Q36" s="28">
        <f t="shared" si="15"/>
        <v>1.2858115638695385E-2</v>
      </c>
      <c r="R36" s="37">
        <f t="shared" si="16"/>
        <v>3.5570409467503531E-3</v>
      </c>
      <c r="S36" s="28">
        <f t="shared" si="17"/>
        <v>1.2079369072667948E-2</v>
      </c>
      <c r="T36" s="28">
        <f t="shared" si="18"/>
        <v>1.2714374825200884E-2</v>
      </c>
      <c r="U36" s="29">
        <f t="shared" si="19"/>
        <v>1.3378733863878002E-2</v>
      </c>
      <c r="V36" s="9"/>
      <c r="W36" s="9"/>
    </row>
    <row r="37" spans="1:23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 spans="1:23" x14ac:dyDescent="0.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 spans="1:23" ht="16" x14ac:dyDescent="0.2">
      <c r="A39" s="9"/>
      <c r="B39" s="124" t="s">
        <v>51</v>
      </c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9"/>
      <c r="W39" s="9"/>
    </row>
    <row r="40" spans="1:23" ht="16" x14ac:dyDescent="0.2">
      <c r="A40" s="9"/>
      <c r="B40" s="13" t="str">
        <f t="shared" ref="B40:U40" si="21">B10</f>
        <v>A_0h</v>
      </c>
      <c r="C40" s="13" t="str">
        <f t="shared" si="21"/>
        <v>A_12h</v>
      </c>
      <c r="D40" s="13" t="str">
        <f t="shared" si="21"/>
        <v>A_24h</v>
      </c>
      <c r="E40" s="13" t="str">
        <f t="shared" si="21"/>
        <v>A_48h</v>
      </c>
      <c r="F40" s="13" t="str">
        <f t="shared" si="21"/>
        <v>B_0h</v>
      </c>
      <c r="G40" s="13" t="str">
        <f t="shared" si="21"/>
        <v>B_12h</v>
      </c>
      <c r="H40" s="13" t="str">
        <f t="shared" si="21"/>
        <v>B_24h</v>
      </c>
      <c r="I40" s="13" t="str">
        <f t="shared" si="21"/>
        <v>B_48h</v>
      </c>
      <c r="J40" s="13" t="str">
        <f t="shared" si="21"/>
        <v>C_0h</v>
      </c>
      <c r="K40" s="13" t="str">
        <f t="shared" si="21"/>
        <v>C_12h</v>
      </c>
      <c r="L40" s="13" t="str">
        <f t="shared" si="21"/>
        <v>C_24h</v>
      </c>
      <c r="M40" s="13" t="str">
        <f t="shared" si="21"/>
        <v>C_48h</v>
      </c>
      <c r="N40" s="13" t="str">
        <f t="shared" si="21"/>
        <v>D_0h</v>
      </c>
      <c r="O40" s="13" t="str">
        <f t="shared" si="21"/>
        <v>D_12h</v>
      </c>
      <c r="P40" s="13" t="str">
        <f t="shared" si="21"/>
        <v>D_24h</v>
      </c>
      <c r="Q40" s="13" t="str">
        <f t="shared" si="21"/>
        <v>D_48h</v>
      </c>
      <c r="R40" s="13" t="str">
        <f t="shared" si="21"/>
        <v>E_0h</v>
      </c>
      <c r="S40" s="13" t="str">
        <f t="shared" si="21"/>
        <v>E_12h</v>
      </c>
      <c r="T40" s="13" t="str">
        <f t="shared" si="21"/>
        <v>E_24h</v>
      </c>
      <c r="U40" s="13" t="str">
        <f t="shared" si="21"/>
        <v>E_48h</v>
      </c>
      <c r="V40" s="9"/>
      <c r="W40" s="9"/>
    </row>
    <row r="41" spans="1:23" x14ac:dyDescent="0.2">
      <c r="A41" s="15" t="s">
        <v>39</v>
      </c>
      <c r="B41" s="38">
        <f>(B26-$E53)/$C53</f>
        <v>4.1839381969304208</v>
      </c>
      <c r="C41" s="39">
        <f t="shared" ref="C41:U41" si="22">(C26-$E53)/$C53</f>
        <v>23.936741939712856</v>
      </c>
      <c r="D41" s="39">
        <f t="shared" si="22"/>
        <v>56.250791261391328</v>
      </c>
      <c r="E41" s="40">
        <f t="shared" si="22"/>
        <v>136.52984470890277</v>
      </c>
      <c r="F41" s="39">
        <f t="shared" si="22"/>
        <v>4.4343037260873164</v>
      </c>
      <c r="G41" s="39">
        <f t="shared" si="22"/>
        <v>38.42051514321092</v>
      </c>
      <c r="H41" s="39">
        <f t="shared" si="22"/>
        <v>30.176711228693517</v>
      </c>
      <c r="I41" s="40">
        <f t="shared" si="22"/>
        <v>24.016042018193872</v>
      </c>
      <c r="J41" s="39">
        <f t="shared" si="22"/>
        <v>3.3554685860873086</v>
      </c>
      <c r="K41" s="39">
        <f t="shared" si="22"/>
        <v>75.842752512491899</v>
      </c>
      <c r="L41" s="39">
        <f t="shared" si="22"/>
        <v>122.68192180538952</v>
      </c>
      <c r="M41" s="40">
        <f t="shared" si="22"/>
        <v>168.41505465317843</v>
      </c>
      <c r="N41" s="38">
        <f t="shared" si="22"/>
        <v>4.015036003685772</v>
      </c>
      <c r="O41" s="39">
        <f t="shared" si="22"/>
        <v>77.985100178235257</v>
      </c>
      <c r="P41" s="39">
        <f t="shared" si="22"/>
        <v>153.42410311230972</v>
      </c>
      <c r="Q41" s="40">
        <f t="shared" si="22"/>
        <v>188.59798350640645</v>
      </c>
      <c r="R41" s="39">
        <f t="shared" si="22"/>
        <v>3.3190178944350506</v>
      </c>
      <c r="S41" s="39">
        <f t="shared" si="22"/>
        <v>72.328065864327414</v>
      </c>
      <c r="T41" s="39">
        <f t="shared" si="22"/>
        <v>143.39966135413903</v>
      </c>
      <c r="U41" s="40">
        <f t="shared" si="22"/>
        <v>212.96328948613987</v>
      </c>
      <c r="V41" s="9"/>
      <c r="W41" s="9"/>
    </row>
    <row r="42" spans="1:23" x14ac:dyDescent="0.2">
      <c r="A42" s="20" t="s">
        <v>40</v>
      </c>
      <c r="B42" s="41">
        <f t="shared" ref="B42:U47" si="23">(B27-$E54)/$C54</f>
        <v>3.6237766060627439</v>
      </c>
      <c r="C42" s="42">
        <f t="shared" si="23"/>
        <v>5.818200274120386</v>
      </c>
      <c r="D42" s="42">
        <f t="shared" si="23"/>
        <v>3.2700876758266126</v>
      </c>
      <c r="E42" s="43">
        <f t="shared" si="23"/>
        <v>1.9270079840652461</v>
      </c>
      <c r="F42" s="42">
        <f t="shared" si="23"/>
        <v>3.0475958508493455</v>
      </c>
      <c r="G42" s="42">
        <f t="shared" si="23"/>
        <v>6.0916557468598054</v>
      </c>
      <c r="H42" s="42">
        <f t="shared" si="23"/>
        <v>6.154267793924058</v>
      </c>
      <c r="I42" s="43">
        <f t="shared" si="23"/>
        <v>7.2503509499410237</v>
      </c>
      <c r="J42" s="42">
        <f t="shared" si="23"/>
        <v>2.4314691431764826</v>
      </c>
      <c r="K42" s="42">
        <f t="shared" si="23"/>
        <v>0.23024990662970307</v>
      </c>
      <c r="L42" s="42">
        <f t="shared" si="23"/>
        <v>6.3425853010071878</v>
      </c>
      <c r="M42" s="43">
        <f t="shared" si="23"/>
        <v>6.6639842644834575</v>
      </c>
      <c r="N42" s="41">
        <f t="shared" si="23"/>
        <v>2.830786002883491</v>
      </c>
      <c r="O42" s="42">
        <f t="shared" si="23"/>
        <v>4.9768044432314698</v>
      </c>
      <c r="P42" s="42">
        <f t="shared" si="23"/>
        <v>6.7944847145855674</v>
      </c>
      <c r="Q42" s="43">
        <f t="shared" si="23"/>
        <v>7.7315836222720327</v>
      </c>
      <c r="R42" s="42">
        <f t="shared" si="23"/>
        <v>2.4776550689602916</v>
      </c>
      <c r="S42" s="42">
        <f t="shared" si="23"/>
        <v>4.7408726709968594</v>
      </c>
      <c r="T42" s="42">
        <f t="shared" si="23"/>
        <v>6.1282462751972533</v>
      </c>
      <c r="U42" s="43">
        <f t="shared" si="23"/>
        <v>7.2707384175112324</v>
      </c>
      <c r="V42" s="9"/>
      <c r="W42" s="9"/>
    </row>
    <row r="43" spans="1:23" x14ac:dyDescent="0.2">
      <c r="A43" s="20" t="s">
        <v>41</v>
      </c>
      <c r="B43" s="41">
        <f t="shared" si="23"/>
        <v>4.1904814155154088E-3</v>
      </c>
      <c r="C43" s="42">
        <f t="shared" si="23"/>
        <v>17.56595250511295</v>
      </c>
      <c r="D43" s="42">
        <f t="shared" si="23"/>
        <v>38.437632409198599</v>
      </c>
      <c r="E43" s="43">
        <f t="shared" si="23"/>
        <v>127.86912639137573</v>
      </c>
      <c r="F43" s="42">
        <f t="shared" si="23"/>
        <v>1.2239078904556329</v>
      </c>
      <c r="G43" s="42">
        <f t="shared" si="23"/>
        <v>18.770603412827935</v>
      </c>
      <c r="H43" s="42">
        <f t="shared" si="23"/>
        <v>27.077648408732333</v>
      </c>
      <c r="I43" s="43">
        <f t="shared" si="23"/>
        <v>18.930448135142242</v>
      </c>
      <c r="J43" s="42">
        <f t="shared" si="23"/>
        <v>4.6973938304436853</v>
      </c>
      <c r="K43" s="42">
        <f t="shared" si="23"/>
        <v>54.725277073778905</v>
      </c>
      <c r="L43" s="42">
        <f t="shared" si="23"/>
        <v>93.130315917161965</v>
      </c>
      <c r="M43" s="43">
        <f t="shared" si="23"/>
        <v>126.5790132750007</v>
      </c>
      <c r="N43" s="41">
        <f t="shared" si="23"/>
        <v>0.75631953047705791</v>
      </c>
      <c r="O43" s="42">
        <f t="shared" si="23"/>
        <v>54.653200367154653</v>
      </c>
      <c r="P43" s="42">
        <f t="shared" si="23"/>
        <v>108.63057302784433</v>
      </c>
      <c r="Q43" s="43">
        <f t="shared" si="23"/>
        <v>143.05986699887174</v>
      </c>
      <c r="R43" s="42">
        <f t="shared" si="23"/>
        <v>4.9304221917844372E-2</v>
      </c>
      <c r="S43" s="42">
        <f t="shared" si="23"/>
        <v>10.272188847890979</v>
      </c>
      <c r="T43" s="42">
        <f t="shared" si="23"/>
        <v>15.653316688724473</v>
      </c>
      <c r="U43" s="43">
        <f t="shared" si="23"/>
        <v>20.22445326862297</v>
      </c>
      <c r="V43" s="9"/>
      <c r="W43" s="9"/>
    </row>
    <row r="44" spans="1:23" x14ac:dyDescent="0.2">
      <c r="A44" s="20" t="s">
        <v>42</v>
      </c>
      <c r="B44" s="41">
        <f t="shared" si="23"/>
        <v>15.641438871287038</v>
      </c>
      <c r="C44" s="42">
        <f t="shared" si="23"/>
        <v>30.137538223008356</v>
      </c>
      <c r="D44" s="42">
        <f t="shared" si="23"/>
        <v>36.553540924591204</v>
      </c>
      <c r="E44" s="43">
        <f t="shared" si="23"/>
        <v>64.531701801974833</v>
      </c>
      <c r="F44" s="42">
        <f t="shared" si="23"/>
        <v>10.938249255207628</v>
      </c>
      <c r="G44" s="42">
        <f t="shared" si="23"/>
        <v>31.206660005896925</v>
      </c>
      <c r="H44" s="42">
        <f t="shared" si="23"/>
        <v>39.063281486309741</v>
      </c>
      <c r="I44" s="43">
        <f t="shared" si="23"/>
        <v>41.630661116192826</v>
      </c>
      <c r="J44" s="42">
        <f t="shared" si="23"/>
        <v>9.4237708704338399</v>
      </c>
      <c r="K44" s="42">
        <f t="shared" si="23"/>
        <v>28.690423733829181</v>
      </c>
      <c r="L44" s="42">
        <f t="shared" si="23"/>
        <v>28.894997421882813</v>
      </c>
      <c r="M44" s="43">
        <f t="shared" si="23"/>
        <v>30.403604841714216</v>
      </c>
      <c r="N44" s="41">
        <f t="shared" si="23"/>
        <v>10.965707909409632</v>
      </c>
      <c r="O44" s="42">
        <f t="shared" si="23"/>
        <v>28.468409644731125</v>
      </c>
      <c r="P44" s="42">
        <f t="shared" si="23"/>
        <v>27.746750060845315</v>
      </c>
      <c r="Q44" s="43">
        <f t="shared" si="23"/>
        <v>24.021323515601772</v>
      </c>
      <c r="R44" s="42">
        <f t="shared" si="23"/>
        <v>9.5261338310096448</v>
      </c>
      <c r="S44" s="42">
        <f t="shared" si="23"/>
        <v>37.930156164764156</v>
      </c>
      <c r="T44" s="42">
        <f t="shared" si="23"/>
        <v>47.213061917147698</v>
      </c>
      <c r="U44" s="43">
        <f t="shared" si="23"/>
        <v>52.324457488675726</v>
      </c>
      <c r="V44" s="9"/>
      <c r="W44" s="9"/>
    </row>
    <row r="45" spans="1:23" x14ac:dyDescent="0.2">
      <c r="A45" s="20" t="s">
        <v>43</v>
      </c>
      <c r="B45" s="41">
        <f t="shared" si="23"/>
        <v>1.029815053207227</v>
      </c>
      <c r="C45" s="42">
        <f t="shared" si="23"/>
        <v>2.9177240950924279</v>
      </c>
      <c r="D45" s="42">
        <f t="shared" si="23"/>
        <v>1.6814023764235388</v>
      </c>
      <c r="E45" s="43">
        <f t="shared" si="23"/>
        <v>2.1775503899361572</v>
      </c>
      <c r="F45" s="42">
        <f t="shared" si="23"/>
        <v>1.2719376370637769</v>
      </c>
      <c r="G45" s="42">
        <f t="shared" si="23"/>
        <v>1.6873303261631576</v>
      </c>
      <c r="H45" s="42">
        <f t="shared" si="23"/>
        <v>0.68386735341606708</v>
      </c>
      <c r="I45" s="43">
        <f t="shared" si="23"/>
        <v>-0.57202606507440479</v>
      </c>
      <c r="J45" s="42">
        <f t="shared" si="23"/>
        <v>2.9011398469400564</v>
      </c>
      <c r="K45" s="42">
        <f t="shared" si="23"/>
        <v>3.8173169499841171</v>
      </c>
      <c r="L45" s="42">
        <f t="shared" si="23"/>
        <v>2.6366290245158917</v>
      </c>
      <c r="M45" s="43">
        <f t="shared" si="23"/>
        <v>2.7527000319623367</v>
      </c>
      <c r="N45" s="41">
        <f t="shared" si="23"/>
        <v>1.3921849966262783</v>
      </c>
      <c r="O45" s="42">
        <f t="shared" si="23"/>
        <v>3.1820677204672334</v>
      </c>
      <c r="P45" s="42">
        <f t="shared" si="23"/>
        <v>3.1535269230258471</v>
      </c>
      <c r="Q45" s="43">
        <f t="shared" si="23"/>
        <v>3.106435030135287</v>
      </c>
      <c r="R45" s="42">
        <f t="shared" si="23"/>
        <v>1.6447837485573671</v>
      </c>
      <c r="S45" s="42">
        <f t="shared" si="23"/>
        <v>2.7245880726577827</v>
      </c>
      <c r="T45" s="42">
        <f t="shared" si="23"/>
        <v>2.1074339620804823</v>
      </c>
      <c r="U45" s="43">
        <f t="shared" si="23"/>
        <v>1.8604731206565057</v>
      </c>
      <c r="V45" s="9"/>
      <c r="W45" s="9"/>
    </row>
    <row r="46" spans="1:23" x14ac:dyDescent="0.2">
      <c r="A46" s="20" t="s">
        <v>44</v>
      </c>
      <c r="B46" s="41">
        <f t="shared" si="23"/>
        <v>2.2261279390028927</v>
      </c>
      <c r="C46" s="42">
        <f t="shared" si="23"/>
        <v>7.0695054769098951</v>
      </c>
      <c r="D46" s="42">
        <f t="shared" si="23"/>
        <v>18.911935689215358</v>
      </c>
      <c r="E46" s="43">
        <f t="shared" si="23"/>
        <v>36.762294871631667</v>
      </c>
      <c r="F46" s="42">
        <f t="shared" si="23"/>
        <v>1.593062662969559</v>
      </c>
      <c r="G46" s="42">
        <f t="shared" si="23"/>
        <v>3.3011299311125817</v>
      </c>
      <c r="H46" s="42">
        <f t="shared" si="23"/>
        <v>18.029301875780153</v>
      </c>
      <c r="I46" s="43">
        <f t="shared" si="23"/>
        <v>72.82768403539967</v>
      </c>
      <c r="J46" s="42">
        <f t="shared" si="23"/>
        <v>2.9673821040062487</v>
      </c>
      <c r="K46" s="42">
        <f t="shared" si="23"/>
        <v>4.5676799644294706</v>
      </c>
      <c r="L46" s="42">
        <f t="shared" si="23"/>
        <v>5.4457747341704659</v>
      </c>
      <c r="M46" s="43">
        <f t="shared" si="23"/>
        <v>5.5376639551476545</v>
      </c>
      <c r="N46" s="41">
        <f t="shared" si="23"/>
        <v>1.0956351407749827</v>
      </c>
      <c r="O46" s="42">
        <f t="shared" si="23"/>
        <v>2.4619151773986969</v>
      </c>
      <c r="P46" s="42">
        <f t="shared" si="23"/>
        <v>3.1437058246530496</v>
      </c>
      <c r="Q46" s="43">
        <f t="shared" si="23"/>
        <v>3.2749439720798716</v>
      </c>
      <c r="R46" s="42">
        <f t="shared" si="23"/>
        <v>0.93193407107380477</v>
      </c>
      <c r="S46" s="42">
        <f t="shared" si="23"/>
        <v>2.1450490224313907</v>
      </c>
      <c r="T46" s="42">
        <f t="shared" si="23"/>
        <v>2.7332108626407998</v>
      </c>
      <c r="U46" s="43">
        <f t="shared" si="23"/>
        <v>3.0887908112580944</v>
      </c>
      <c r="V46" s="9"/>
      <c r="W46" s="9"/>
    </row>
    <row r="47" spans="1:23" x14ac:dyDescent="0.2">
      <c r="A47" s="20" t="s">
        <v>45</v>
      </c>
      <c r="B47" s="41">
        <f t="shared" si="23"/>
        <v>3.2286028993842844</v>
      </c>
      <c r="C47" s="42">
        <f t="shared" si="23"/>
        <v>3.3311039924494588</v>
      </c>
      <c r="D47" s="42">
        <f t="shared" si="23"/>
        <v>3.0713489053793097</v>
      </c>
      <c r="E47" s="43">
        <f t="shared" si="23"/>
        <v>4.6562736797561657</v>
      </c>
      <c r="F47" s="42">
        <f t="shared" si="23"/>
        <v>3.9034958838802387</v>
      </c>
      <c r="G47" s="42">
        <f t="shared" si="23"/>
        <v>2.9827078635501016</v>
      </c>
      <c r="H47" s="42">
        <f t="shared" si="23"/>
        <v>2.995552317779226</v>
      </c>
      <c r="I47" s="43">
        <f t="shared" si="23"/>
        <v>8.5331401308707893</v>
      </c>
      <c r="J47" s="42">
        <f t="shared" si="23"/>
        <v>3.2186248380198634</v>
      </c>
      <c r="K47" s="42">
        <f t="shared" si="23"/>
        <v>7.6636513211353448</v>
      </c>
      <c r="L47" s="42">
        <f t="shared" si="23"/>
        <v>9.114356157198527</v>
      </c>
      <c r="M47" s="43">
        <f t="shared" si="23"/>
        <v>10.64359600007816</v>
      </c>
      <c r="N47" s="41">
        <f t="shared" si="23"/>
        <v>4.1134722986227716</v>
      </c>
      <c r="O47" s="42">
        <f t="shared" si="23"/>
        <v>6.5533043153988269</v>
      </c>
      <c r="P47" s="42">
        <f t="shared" si="23"/>
        <v>9.6585365262834113</v>
      </c>
      <c r="Q47" s="43">
        <f t="shared" si="23"/>
        <v>10.163958294726246</v>
      </c>
      <c r="R47" s="42">
        <f t="shared" si="23"/>
        <v>2.5053126797362757</v>
      </c>
      <c r="S47" s="42">
        <f t="shared" si="23"/>
        <v>5.7172362066013154</v>
      </c>
      <c r="T47" s="42">
        <f t="shared" si="23"/>
        <v>4.971359924810784</v>
      </c>
      <c r="U47" s="43">
        <f t="shared" si="23"/>
        <v>5.7878782910646338</v>
      </c>
      <c r="V47" s="9"/>
      <c r="W47" s="9"/>
    </row>
    <row r="48" spans="1:23" x14ac:dyDescent="0.2">
      <c r="A48" s="20" t="s">
        <v>47</v>
      </c>
      <c r="B48" s="41">
        <f t="shared" ref="B48:U50" si="24">(B34-$E60)/$C60</f>
        <v>42.005299522104856</v>
      </c>
      <c r="C48" s="42">
        <f t="shared" si="24"/>
        <v>60.555435174343138</v>
      </c>
      <c r="D48" s="42">
        <f t="shared" si="24"/>
        <v>65.057717235972646</v>
      </c>
      <c r="E48" s="43">
        <f t="shared" si="24"/>
        <v>95.457299290972699</v>
      </c>
      <c r="F48" s="42">
        <f t="shared" si="24"/>
        <v>45.215129638904706</v>
      </c>
      <c r="G48" s="42">
        <f t="shared" si="24"/>
        <v>54.824999214829603</v>
      </c>
      <c r="H48" s="42">
        <f t="shared" si="24"/>
        <v>53.663017522334265</v>
      </c>
      <c r="I48" s="43">
        <f t="shared" si="24"/>
        <v>97.137549771741575</v>
      </c>
      <c r="J48" s="42">
        <f t="shared" si="24"/>
        <v>43.807925505607145</v>
      </c>
      <c r="K48" s="42">
        <f t="shared" si="24"/>
        <v>59.971583397352752</v>
      </c>
      <c r="L48" s="42">
        <f t="shared" si="24"/>
        <v>57.433347375345519</v>
      </c>
      <c r="M48" s="43">
        <f t="shared" si="24"/>
        <v>60.911597594616239</v>
      </c>
      <c r="N48" s="41">
        <f t="shared" si="24"/>
        <v>45.5346534579229</v>
      </c>
      <c r="O48" s="42">
        <f t="shared" si="24"/>
        <v>54.200491793547009</v>
      </c>
      <c r="P48" s="42">
        <f t="shared" si="24"/>
        <v>61.732493086265102</v>
      </c>
      <c r="Q48" s="43">
        <f t="shared" si="24"/>
        <v>59.794243599028675</v>
      </c>
      <c r="R48" s="42">
        <f t="shared" si="24"/>
        <v>38.871531658855069</v>
      </c>
      <c r="S48" s="42">
        <f t="shared" si="24"/>
        <v>55.932759430366239</v>
      </c>
      <c r="T48" s="42">
        <f t="shared" si="24"/>
        <v>58.103578542012343</v>
      </c>
      <c r="U48" s="43">
        <f t="shared" si="24"/>
        <v>61.033874595023207</v>
      </c>
      <c r="V48" s="9"/>
      <c r="W48" s="9"/>
    </row>
    <row r="49" spans="1:23" x14ac:dyDescent="0.2">
      <c r="A49" s="20" t="s">
        <v>48</v>
      </c>
      <c r="B49" s="41">
        <f t="shared" si="24"/>
        <v>1.8002800053056867</v>
      </c>
      <c r="C49" s="42">
        <f t="shared" si="24"/>
        <v>1.1737759587067416</v>
      </c>
      <c r="D49" s="42">
        <f t="shared" si="24"/>
        <v>0.91230065777822844</v>
      </c>
      <c r="E49" s="43">
        <f t="shared" si="24"/>
        <v>5.5669378830311995</v>
      </c>
      <c r="F49" s="42">
        <f t="shared" si="24"/>
        <v>1.6631480874533275</v>
      </c>
      <c r="G49" s="42">
        <f t="shared" si="24"/>
        <v>2.9717784209207263</v>
      </c>
      <c r="H49" s="42">
        <f t="shared" si="24"/>
        <v>0.94138995070541109</v>
      </c>
      <c r="I49" s="43">
        <f t="shared" si="24"/>
        <v>3.9680670189537137</v>
      </c>
      <c r="J49" s="42">
        <f t="shared" si="24"/>
        <v>1.345649745297675</v>
      </c>
      <c r="K49" s="42">
        <f t="shared" si="24"/>
        <v>3.6257706085327195</v>
      </c>
      <c r="L49" s="42">
        <f t="shared" si="24"/>
        <v>2.9879454853115766</v>
      </c>
      <c r="M49" s="43">
        <f t="shared" si="24"/>
        <v>2.0269041031171344</v>
      </c>
      <c r="N49" s="41">
        <f t="shared" si="24"/>
        <v>1.3197009495056609</v>
      </c>
      <c r="O49" s="42">
        <f t="shared" si="24"/>
        <v>2.9139309342654292</v>
      </c>
      <c r="P49" s="42">
        <f t="shared" si="24"/>
        <v>3.0729543184621657</v>
      </c>
      <c r="Q49" s="43">
        <f t="shared" si="24"/>
        <v>2.6578276291180893</v>
      </c>
      <c r="R49" s="42">
        <f t="shared" si="24"/>
        <v>1.1070937176129925</v>
      </c>
      <c r="S49" s="42">
        <f t="shared" si="24"/>
        <v>2.2737686595363007</v>
      </c>
      <c r="T49" s="42">
        <f t="shared" si="24"/>
        <v>2.8864590259927172</v>
      </c>
      <c r="U49" s="43">
        <f t="shared" si="24"/>
        <v>3.0223202937785074</v>
      </c>
      <c r="V49" s="9"/>
      <c r="W49" s="9"/>
    </row>
    <row r="50" spans="1:23" x14ac:dyDescent="0.2">
      <c r="A50" s="26" t="s">
        <v>49</v>
      </c>
      <c r="B50" s="44">
        <f t="shared" si="24"/>
        <v>1.9948352055301815</v>
      </c>
      <c r="C50" s="45">
        <f t="shared" si="24"/>
        <v>2.3495090899365962</v>
      </c>
      <c r="D50" s="45">
        <f t="shared" si="24"/>
        <v>2.494902026855244</v>
      </c>
      <c r="E50" s="46">
        <f t="shared" si="24"/>
        <v>3.2119693963020626</v>
      </c>
      <c r="F50" s="45">
        <f t="shared" si="24"/>
        <v>1.8360482897936501</v>
      </c>
      <c r="G50" s="45">
        <f t="shared" si="24"/>
        <v>1.9766939104144134</v>
      </c>
      <c r="H50" s="45">
        <f t="shared" si="24"/>
        <v>1.8428342471530998</v>
      </c>
      <c r="I50" s="46">
        <f t="shared" si="24"/>
        <v>16.139230078496151</v>
      </c>
      <c r="J50" s="45">
        <f t="shared" si="24"/>
        <v>1.902821792738598</v>
      </c>
      <c r="K50" s="45">
        <f t="shared" si="24"/>
        <v>4.4583488069010277</v>
      </c>
      <c r="L50" s="45">
        <f t="shared" si="24"/>
        <v>4.5497891800603423</v>
      </c>
      <c r="M50" s="46">
        <f t="shared" si="24"/>
        <v>4.5369066379549414</v>
      </c>
      <c r="N50" s="44">
        <f t="shared" si="24"/>
        <v>1.8642347459992086</v>
      </c>
      <c r="O50" s="45">
        <f t="shared" si="24"/>
        <v>4.6860239740440184</v>
      </c>
      <c r="P50" s="45">
        <f t="shared" si="24"/>
        <v>5.4091531975367815</v>
      </c>
      <c r="Q50" s="46">
        <f t="shared" si="24"/>
        <v>5.3032462554781539</v>
      </c>
      <c r="R50" s="45">
        <f t="shared" si="24"/>
        <v>1.582816378700141</v>
      </c>
      <c r="S50" s="45">
        <f t="shared" si="24"/>
        <v>4.9917476290671789</v>
      </c>
      <c r="T50" s="45">
        <f t="shared" si="24"/>
        <v>5.2457499300803532</v>
      </c>
      <c r="U50" s="46">
        <f t="shared" si="24"/>
        <v>5.5114935455512004</v>
      </c>
      <c r="V50" s="9"/>
      <c r="W50" s="9"/>
    </row>
    <row r="51" spans="1:23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 spans="1:23" x14ac:dyDescent="0.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 spans="1:23" x14ac:dyDescent="0.2">
      <c r="A53" s="15" t="s">
        <v>39</v>
      </c>
      <c r="B53" s="47" t="s">
        <v>52</v>
      </c>
      <c r="C53" s="48">
        <v>3.5999999999999999E-3</v>
      </c>
      <c r="D53" s="49" t="s">
        <v>53</v>
      </c>
      <c r="E53" s="48">
        <v>1.2999999999999999E-3</v>
      </c>
      <c r="F53" s="50"/>
      <c r="G53" s="50"/>
      <c r="H53" s="51"/>
      <c r="I53" s="51"/>
      <c r="J53" s="51"/>
      <c r="K53" s="50"/>
      <c r="L53" s="50"/>
      <c r="M53" s="50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 spans="1:23" x14ac:dyDescent="0.2">
      <c r="A54" s="20" t="s">
        <v>40</v>
      </c>
      <c r="B54" s="52" t="s">
        <v>52</v>
      </c>
      <c r="C54" s="53">
        <v>4.7999999999999996E-3</v>
      </c>
      <c r="D54" s="54" t="s">
        <v>53</v>
      </c>
      <c r="E54" s="53">
        <v>1.6000000000000001E-3</v>
      </c>
      <c r="F54" s="50"/>
      <c r="G54" s="50"/>
      <c r="H54" s="51"/>
      <c r="I54" s="51"/>
      <c r="J54" s="51"/>
      <c r="K54" s="50"/>
      <c r="L54" s="50"/>
      <c r="M54" s="50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 spans="1:23" x14ac:dyDescent="0.2">
      <c r="A55" s="20" t="s">
        <v>41</v>
      </c>
      <c r="B55" s="52" t="s">
        <v>52</v>
      </c>
      <c r="C55" s="53">
        <v>2.7000000000000001E-3</v>
      </c>
      <c r="D55" s="54" t="s">
        <v>53</v>
      </c>
      <c r="E55" s="53">
        <v>1.1999999999999999E-3</v>
      </c>
      <c r="F55" s="50"/>
      <c r="G55" s="50"/>
      <c r="H55" s="51"/>
      <c r="I55" s="51"/>
      <c r="J55" s="51"/>
      <c r="K55" s="50"/>
      <c r="L55" s="50"/>
      <c r="M55" s="50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 spans="1:23" x14ac:dyDescent="0.2">
      <c r="A56" s="20" t="s">
        <v>42</v>
      </c>
      <c r="B56" s="52" t="s">
        <v>52</v>
      </c>
      <c r="C56" s="53">
        <v>2.7000000000000001E-3</v>
      </c>
      <c r="D56" s="54" t="s">
        <v>53</v>
      </c>
      <c r="E56" s="53">
        <v>-5.0000000000000001E-4</v>
      </c>
      <c r="F56" s="50"/>
      <c r="G56" s="50"/>
      <c r="H56" s="51"/>
      <c r="I56" s="51"/>
      <c r="J56" s="51"/>
      <c r="K56" s="50"/>
      <c r="L56" s="50"/>
      <c r="M56" s="50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 spans="1:23" x14ac:dyDescent="0.2">
      <c r="A57" s="20" t="s">
        <v>43</v>
      </c>
      <c r="B57" s="52" t="s">
        <v>52</v>
      </c>
      <c r="C57" s="53">
        <v>3.5999999999999999E-3</v>
      </c>
      <c r="D57" s="54" t="s">
        <v>53</v>
      </c>
      <c r="E57" s="53">
        <v>2.5999999999999999E-3</v>
      </c>
      <c r="F57" s="50"/>
      <c r="G57" s="50"/>
      <c r="H57" s="51"/>
      <c r="I57" s="51"/>
      <c r="J57" s="51"/>
      <c r="K57" s="50"/>
      <c r="L57" s="50"/>
      <c r="M57" s="50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 spans="1:23" x14ac:dyDescent="0.2">
      <c r="A58" s="20" t="s">
        <v>44</v>
      </c>
      <c r="B58" s="52" t="s">
        <v>52</v>
      </c>
      <c r="C58" s="53">
        <v>2.7000000000000001E-3</v>
      </c>
      <c r="D58" s="54" t="s">
        <v>53</v>
      </c>
      <c r="E58" s="53">
        <v>0</v>
      </c>
      <c r="F58" s="50"/>
      <c r="G58" s="50"/>
      <c r="H58" s="51"/>
      <c r="I58" s="51"/>
      <c r="J58" s="51"/>
      <c r="K58" s="50"/>
      <c r="L58" s="50"/>
      <c r="M58" s="50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 spans="1:23" x14ac:dyDescent="0.2">
      <c r="A59" s="20" t="s">
        <v>45</v>
      </c>
      <c r="B59" s="52" t="s">
        <v>52</v>
      </c>
      <c r="C59" s="53">
        <v>2.5999999999999999E-3</v>
      </c>
      <c r="D59" s="54" t="s">
        <v>53</v>
      </c>
      <c r="E59" s="53">
        <v>-4.1999999999999997E-3</v>
      </c>
      <c r="F59" s="50"/>
      <c r="G59" s="50"/>
      <c r="H59" s="51"/>
      <c r="I59" s="51"/>
      <c r="J59" s="51"/>
      <c r="K59" s="50"/>
      <c r="L59" s="50"/>
      <c r="M59" s="50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 spans="1:23" x14ac:dyDescent="0.2">
      <c r="A60" s="20" t="s">
        <v>47</v>
      </c>
      <c r="B60" s="52" t="s">
        <v>52</v>
      </c>
      <c r="C60" s="53">
        <v>2.5000000000000001E-3</v>
      </c>
      <c r="D60" s="54" t="s">
        <v>53</v>
      </c>
      <c r="E60" s="53">
        <v>-8.9999999999999998E-4</v>
      </c>
      <c r="F60" s="50"/>
      <c r="G60" s="50"/>
      <c r="H60" s="51"/>
      <c r="I60" s="51"/>
      <c r="J60" s="51"/>
      <c r="K60" s="50"/>
      <c r="L60" s="50"/>
      <c r="M60" s="50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 spans="1:23" x14ac:dyDescent="0.2">
      <c r="A61" s="20" t="s">
        <v>48</v>
      </c>
      <c r="B61" s="52" t="s">
        <v>52</v>
      </c>
      <c r="C61" s="53">
        <v>2.3E-3</v>
      </c>
      <c r="D61" s="54" t="s">
        <v>53</v>
      </c>
      <c r="E61" s="53">
        <v>-5.0000000000000001E-4</v>
      </c>
      <c r="F61" s="50"/>
      <c r="G61" s="50"/>
      <c r="H61" s="51"/>
      <c r="I61" s="51"/>
      <c r="J61" s="51"/>
      <c r="K61" s="50"/>
      <c r="L61" s="50"/>
      <c r="M61" s="50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 spans="1:23" x14ac:dyDescent="0.2">
      <c r="A62" s="26" t="s">
        <v>49</v>
      </c>
      <c r="B62" s="55" t="s">
        <v>52</v>
      </c>
      <c r="C62" s="56">
        <v>2.5000000000000001E-3</v>
      </c>
      <c r="D62" s="57" t="s">
        <v>53</v>
      </c>
      <c r="E62" s="56">
        <v>-4.0000000000000002E-4</v>
      </c>
      <c r="F62" s="58"/>
      <c r="G62" s="50"/>
      <c r="H62" s="51"/>
      <c r="I62" s="51"/>
      <c r="J62" s="51"/>
      <c r="K62" s="50"/>
      <c r="L62" s="50"/>
      <c r="M62" s="50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 spans="1:23" x14ac:dyDescent="0.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 spans="1:23" hidden="1" x14ac:dyDescent="0.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 spans="1:23" hidden="1" x14ac:dyDescent="0.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 spans="1:23" hidden="1" x14ac:dyDescent="0.2">
      <c r="A66" s="9"/>
      <c r="B66" s="7" t="s">
        <v>13</v>
      </c>
      <c r="C66" s="7">
        <v>2.5100000000000001E-2</v>
      </c>
      <c r="D66" s="12" t="s">
        <v>14</v>
      </c>
      <c r="E66" s="21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 spans="1:23" hidden="1" x14ac:dyDescent="0.2">
      <c r="A67" s="9"/>
      <c r="B67" s="7" t="s">
        <v>15</v>
      </c>
      <c r="C67" s="7">
        <v>1.1662213962132653</v>
      </c>
      <c r="D67" s="12" t="s">
        <v>16</v>
      </c>
      <c r="E67" s="21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 spans="1:23" hidden="1" x14ac:dyDescent="0.2">
      <c r="A68" s="9"/>
      <c r="B68" s="7" t="s">
        <v>17</v>
      </c>
      <c r="C68" s="7">
        <v>0.23324427924265306</v>
      </c>
      <c r="D68" s="12" t="s">
        <v>16</v>
      </c>
      <c r="E68" s="21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 spans="1:23" hidden="1" x14ac:dyDescent="0.2">
      <c r="A69" s="9"/>
      <c r="B69" s="7" t="s">
        <v>17</v>
      </c>
      <c r="C69" s="7">
        <v>20.080000000000002</v>
      </c>
      <c r="D69" s="12" t="s">
        <v>18</v>
      </c>
      <c r="E69" s="12">
        <f>C69/1000</f>
        <v>2.0080000000000001E-2</v>
      </c>
      <c r="F69" s="12" t="s">
        <v>54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 spans="1:23" hidden="1" x14ac:dyDescent="0.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 spans="1:23" x14ac:dyDescent="0.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 spans="1:23" ht="16" x14ac:dyDescent="0.2">
      <c r="A72" s="9"/>
      <c r="B72" s="124" t="s">
        <v>55</v>
      </c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6"/>
      <c r="V72" s="9"/>
      <c r="W72" s="9"/>
    </row>
    <row r="73" spans="1:23" ht="16" x14ac:dyDescent="0.2">
      <c r="A73" s="9"/>
      <c r="B73" s="13" t="str">
        <f t="shared" ref="B73:U73" si="25">B10</f>
        <v>A_0h</v>
      </c>
      <c r="C73" s="13" t="str">
        <f t="shared" si="25"/>
        <v>A_12h</v>
      </c>
      <c r="D73" s="13" t="str">
        <f t="shared" si="25"/>
        <v>A_24h</v>
      </c>
      <c r="E73" s="13" t="str">
        <f t="shared" si="25"/>
        <v>A_48h</v>
      </c>
      <c r="F73" s="13" t="str">
        <f t="shared" si="25"/>
        <v>B_0h</v>
      </c>
      <c r="G73" s="30" t="str">
        <f t="shared" si="25"/>
        <v>B_12h</v>
      </c>
      <c r="H73" s="14" t="str">
        <f t="shared" si="25"/>
        <v>B_24h</v>
      </c>
      <c r="I73" s="13" t="str">
        <f t="shared" si="25"/>
        <v>B_48h</v>
      </c>
      <c r="J73" s="13" t="str">
        <f t="shared" si="25"/>
        <v>C_0h</v>
      </c>
      <c r="K73" s="13" t="str">
        <f t="shared" si="25"/>
        <v>C_12h</v>
      </c>
      <c r="L73" s="13" t="str">
        <f t="shared" si="25"/>
        <v>C_24h</v>
      </c>
      <c r="M73" s="13" t="str">
        <f t="shared" si="25"/>
        <v>C_48h</v>
      </c>
      <c r="N73" s="13" t="str">
        <f t="shared" si="25"/>
        <v>D_0h</v>
      </c>
      <c r="O73" s="13" t="str">
        <f t="shared" si="25"/>
        <v>D_12h</v>
      </c>
      <c r="P73" s="13" t="str">
        <f t="shared" si="25"/>
        <v>D_24h</v>
      </c>
      <c r="Q73" s="13" t="str">
        <f t="shared" si="25"/>
        <v>D_48h</v>
      </c>
      <c r="R73" s="13" t="str">
        <f t="shared" si="25"/>
        <v>E_0h</v>
      </c>
      <c r="S73" s="30" t="str">
        <f t="shared" si="25"/>
        <v>E_12h</v>
      </c>
      <c r="T73" s="14" t="str">
        <f t="shared" si="25"/>
        <v>E_24h</v>
      </c>
      <c r="U73" s="13" t="str">
        <f t="shared" si="25"/>
        <v>E_48h</v>
      </c>
      <c r="V73" s="9"/>
      <c r="W73" s="9"/>
    </row>
    <row r="74" spans="1:23" x14ac:dyDescent="0.2">
      <c r="A74" s="15" t="s">
        <v>39</v>
      </c>
      <c r="B74" s="59">
        <f>B41*$E$69</f>
        <v>8.4013478994362858E-2</v>
      </c>
      <c r="C74" s="31">
        <f t="shared" ref="C74:U74" si="26">C41*$E$69</f>
        <v>0.48064977814943416</v>
      </c>
      <c r="D74" s="31">
        <f t="shared" si="26"/>
        <v>1.129515888528738</v>
      </c>
      <c r="E74" s="60">
        <f t="shared" si="26"/>
        <v>2.7415192817547678</v>
      </c>
      <c r="F74" s="31">
        <f t="shared" si="26"/>
        <v>8.904081881983332E-2</v>
      </c>
      <c r="G74" s="19">
        <f t="shared" si="26"/>
        <v>0.77148394407567533</v>
      </c>
      <c r="H74" s="19">
        <f t="shared" si="26"/>
        <v>0.6059483614721658</v>
      </c>
      <c r="I74" s="60">
        <f t="shared" si="26"/>
        <v>0.48224212372533298</v>
      </c>
      <c r="J74" s="59">
        <f t="shared" si="26"/>
        <v>6.7377809208633163E-2</v>
      </c>
      <c r="K74" s="31">
        <f t="shared" si="26"/>
        <v>1.5229224704508373</v>
      </c>
      <c r="L74" s="31">
        <f t="shared" si="26"/>
        <v>2.4634529898522217</v>
      </c>
      <c r="M74" s="60">
        <f t="shared" si="26"/>
        <v>3.3817742974358231</v>
      </c>
      <c r="N74" s="59">
        <f t="shared" si="26"/>
        <v>8.06219229540103E-2</v>
      </c>
      <c r="O74" s="31">
        <f t="shared" si="26"/>
        <v>1.5659408115789639</v>
      </c>
      <c r="P74" s="31">
        <f t="shared" si="26"/>
        <v>3.0807559904951791</v>
      </c>
      <c r="Q74" s="60">
        <f t="shared" si="26"/>
        <v>3.7870475088086417</v>
      </c>
      <c r="R74" s="31">
        <f t="shared" si="26"/>
        <v>6.6645879320255813E-2</v>
      </c>
      <c r="S74" s="31">
        <f t="shared" si="26"/>
        <v>1.4523475625556945</v>
      </c>
      <c r="T74" s="31">
        <f t="shared" si="26"/>
        <v>2.8794651999911118</v>
      </c>
      <c r="U74" s="60">
        <f t="shared" si="26"/>
        <v>4.2763028528816891</v>
      </c>
      <c r="V74" s="9"/>
      <c r="W74" s="9"/>
    </row>
    <row r="75" spans="1:23" x14ac:dyDescent="0.2">
      <c r="A75" s="20" t="s">
        <v>40</v>
      </c>
      <c r="B75" s="34">
        <f t="shared" ref="B75:U83" si="27">B42*$E$69</f>
        <v>7.2765434249739899E-2</v>
      </c>
      <c r="C75" s="33">
        <f t="shared" si="27"/>
        <v>0.11682946150433736</v>
      </c>
      <c r="D75" s="33">
        <f t="shared" si="27"/>
        <v>6.5663360530598389E-2</v>
      </c>
      <c r="E75" s="32">
        <f t="shared" si="27"/>
        <v>3.8694320320030146E-2</v>
      </c>
      <c r="F75" s="33">
        <f t="shared" si="27"/>
        <v>6.119572468505486E-2</v>
      </c>
      <c r="G75" s="9">
        <f t="shared" si="27"/>
        <v>0.12232044739694489</v>
      </c>
      <c r="H75" s="9">
        <f t="shared" si="27"/>
        <v>0.12357769730199508</v>
      </c>
      <c r="I75" s="32">
        <f t="shared" si="27"/>
        <v>0.14558704707481576</v>
      </c>
      <c r="J75" s="34">
        <f t="shared" si="27"/>
        <v>4.8823900394983771E-2</v>
      </c>
      <c r="K75" s="33">
        <f t="shared" si="27"/>
        <v>4.6234181251244375E-3</v>
      </c>
      <c r="L75" s="33">
        <f t="shared" si="27"/>
        <v>0.12735911284422433</v>
      </c>
      <c r="M75" s="32">
        <f t="shared" si="27"/>
        <v>0.13381280403082782</v>
      </c>
      <c r="N75" s="34">
        <f t="shared" si="27"/>
        <v>5.6842182937900498E-2</v>
      </c>
      <c r="O75" s="33">
        <f t="shared" si="27"/>
        <v>9.9934233220087917E-2</v>
      </c>
      <c r="P75" s="33">
        <f t="shared" si="27"/>
        <v>0.13643325306887819</v>
      </c>
      <c r="Q75" s="32">
        <f t="shared" si="27"/>
        <v>0.15525019913522242</v>
      </c>
      <c r="R75" s="33">
        <f t="shared" si="27"/>
        <v>4.975131378472266E-2</v>
      </c>
      <c r="S75" s="33">
        <f t="shared" si="27"/>
        <v>9.5196723233616942E-2</v>
      </c>
      <c r="T75" s="33">
        <f t="shared" si="27"/>
        <v>0.12305518520596084</v>
      </c>
      <c r="U75" s="32">
        <f t="shared" si="27"/>
        <v>0.14599642742362556</v>
      </c>
      <c r="V75" s="9"/>
      <c r="W75" s="9"/>
    </row>
    <row r="76" spans="1:23" x14ac:dyDescent="0.2">
      <c r="A76" s="20" t="s">
        <v>41</v>
      </c>
      <c r="B76" s="34">
        <f t="shared" si="27"/>
        <v>8.4144866823549408E-5</v>
      </c>
      <c r="C76" s="33">
        <f t="shared" si="27"/>
        <v>0.35272432630266803</v>
      </c>
      <c r="D76" s="33">
        <f t="shared" si="27"/>
        <v>0.77182765877670789</v>
      </c>
      <c r="E76" s="32">
        <f t="shared" si="27"/>
        <v>2.5676120579388249</v>
      </c>
      <c r="F76" s="33">
        <f t="shared" si="27"/>
        <v>2.457607044034911E-2</v>
      </c>
      <c r="G76" s="9">
        <f t="shared" si="27"/>
        <v>0.37691371652958494</v>
      </c>
      <c r="H76" s="9">
        <f t="shared" si="27"/>
        <v>0.54371918004734532</v>
      </c>
      <c r="I76" s="32">
        <f t="shared" si="27"/>
        <v>0.38012339855365623</v>
      </c>
      <c r="J76" s="34">
        <f t="shared" si="27"/>
        <v>9.4323668115309206E-2</v>
      </c>
      <c r="K76" s="33">
        <f t="shared" si="27"/>
        <v>1.0988835636414804</v>
      </c>
      <c r="L76" s="33">
        <f t="shared" si="27"/>
        <v>1.8700567436166122</v>
      </c>
      <c r="M76" s="32">
        <f t="shared" si="27"/>
        <v>2.5417065865620141</v>
      </c>
      <c r="N76" s="34">
        <f t="shared" si="27"/>
        <v>1.5186896171979323E-2</v>
      </c>
      <c r="O76" s="33">
        <f t="shared" si="27"/>
        <v>1.0974362633724655</v>
      </c>
      <c r="P76" s="33">
        <f t="shared" si="27"/>
        <v>2.1813019063991144</v>
      </c>
      <c r="Q76" s="32">
        <f t="shared" si="27"/>
        <v>2.8726421293373448</v>
      </c>
      <c r="R76" s="33">
        <f t="shared" si="27"/>
        <v>9.9002877611031512E-4</v>
      </c>
      <c r="S76" s="33">
        <f t="shared" si="27"/>
        <v>0.20626555206565086</v>
      </c>
      <c r="T76" s="33">
        <f t="shared" si="27"/>
        <v>0.31431859910958743</v>
      </c>
      <c r="U76" s="32">
        <f t="shared" si="27"/>
        <v>0.40610702163394924</v>
      </c>
      <c r="V76" s="9"/>
      <c r="W76" s="9"/>
    </row>
    <row r="77" spans="1:23" x14ac:dyDescent="0.2">
      <c r="A77" s="20" t="s">
        <v>42</v>
      </c>
      <c r="B77" s="34">
        <f t="shared" si="27"/>
        <v>0.31408009253544372</v>
      </c>
      <c r="C77" s="33">
        <f t="shared" si="27"/>
        <v>0.60516176751800776</v>
      </c>
      <c r="D77" s="33">
        <f t="shared" si="27"/>
        <v>0.73399510176579141</v>
      </c>
      <c r="E77" s="32">
        <f t="shared" si="27"/>
        <v>1.2957965721836546</v>
      </c>
      <c r="F77" s="33">
        <f t="shared" si="27"/>
        <v>0.21964004504456919</v>
      </c>
      <c r="G77" s="9">
        <f t="shared" si="27"/>
        <v>0.62662973291841029</v>
      </c>
      <c r="H77" s="9">
        <f t="shared" si="27"/>
        <v>0.78439069224509961</v>
      </c>
      <c r="I77" s="32">
        <f t="shared" si="27"/>
        <v>0.83594367521315194</v>
      </c>
      <c r="J77" s="34">
        <f t="shared" si="27"/>
        <v>0.1892293190783115</v>
      </c>
      <c r="K77" s="33">
        <f t="shared" si="27"/>
        <v>0.57610370857529003</v>
      </c>
      <c r="L77" s="33">
        <f t="shared" si="27"/>
        <v>0.58021154823140686</v>
      </c>
      <c r="M77" s="32">
        <f t="shared" si="27"/>
        <v>0.61050438522162143</v>
      </c>
      <c r="N77" s="34">
        <f t="shared" si="27"/>
        <v>0.22019141482094542</v>
      </c>
      <c r="O77" s="33">
        <f t="shared" si="27"/>
        <v>0.57164566566620101</v>
      </c>
      <c r="P77" s="33">
        <f t="shared" si="27"/>
        <v>0.557154741221774</v>
      </c>
      <c r="Q77" s="32">
        <f t="shared" si="27"/>
        <v>0.48234817619328357</v>
      </c>
      <c r="R77" s="33">
        <f t="shared" si="27"/>
        <v>0.19128476732667368</v>
      </c>
      <c r="S77" s="33">
        <f t="shared" si="27"/>
        <v>0.76163753578846427</v>
      </c>
      <c r="T77" s="33">
        <f t="shared" si="27"/>
        <v>0.94803828329632578</v>
      </c>
      <c r="U77" s="32">
        <f t="shared" si="27"/>
        <v>1.0506751063726085</v>
      </c>
      <c r="V77" s="9"/>
      <c r="W77" s="9"/>
    </row>
    <row r="78" spans="1:23" x14ac:dyDescent="0.2">
      <c r="A78" s="20" t="s">
        <v>43</v>
      </c>
      <c r="B78" s="34">
        <f t="shared" si="27"/>
        <v>2.0678686268401119E-2</v>
      </c>
      <c r="C78" s="33">
        <f t="shared" si="27"/>
        <v>5.8587899829455954E-2</v>
      </c>
      <c r="D78" s="33">
        <f t="shared" si="27"/>
        <v>3.3762559718584662E-2</v>
      </c>
      <c r="E78" s="32">
        <f t="shared" si="27"/>
        <v>4.3725211829918037E-2</v>
      </c>
      <c r="F78" s="33">
        <f t="shared" si="27"/>
        <v>2.5540507752240642E-2</v>
      </c>
      <c r="G78" s="9">
        <f t="shared" si="27"/>
        <v>3.3881592949356207E-2</v>
      </c>
      <c r="H78" s="9">
        <f t="shared" si="27"/>
        <v>1.3732056456594628E-2</v>
      </c>
      <c r="I78" s="32">
        <f t="shared" si="27"/>
        <v>-1.1486283386694048E-2</v>
      </c>
      <c r="J78" s="34">
        <f t="shared" si="27"/>
        <v>5.8254888126556333E-2</v>
      </c>
      <c r="K78" s="33">
        <f t="shared" si="27"/>
        <v>7.6651724355681072E-2</v>
      </c>
      <c r="L78" s="33">
        <f t="shared" si="27"/>
        <v>5.2943510812279104E-2</v>
      </c>
      <c r="M78" s="32">
        <f t="shared" si="27"/>
        <v>5.5274216641803722E-2</v>
      </c>
      <c r="N78" s="34">
        <f t="shared" si="27"/>
        <v>2.7955074732255669E-2</v>
      </c>
      <c r="O78" s="33">
        <f t="shared" si="27"/>
        <v>6.3895919826982048E-2</v>
      </c>
      <c r="P78" s="33">
        <f t="shared" si="27"/>
        <v>6.332282061435901E-2</v>
      </c>
      <c r="Q78" s="32">
        <f t="shared" si="27"/>
        <v>6.2377215405116565E-2</v>
      </c>
      <c r="R78" s="33">
        <f t="shared" si="27"/>
        <v>3.3027257671031929E-2</v>
      </c>
      <c r="S78" s="33">
        <f t="shared" si="27"/>
        <v>5.4709728498968276E-2</v>
      </c>
      <c r="T78" s="33">
        <f t="shared" si="27"/>
        <v>4.2317273958576082E-2</v>
      </c>
      <c r="U78" s="32">
        <f t="shared" si="27"/>
        <v>3.7358300262782633E-2</v>
      </c>
      <c r="V78" s="9"/>
      <c r="W78" s="9"/>
    </row>
    <row r="79" spans="1:23" x14ac:dyDescent="0.2">
      <c r="A79" s="20" t="s">
        <v>44</v>
      </c>
      <c r="B79" s="34">
        <f t="shared" si="27"/>
        <v>4.470064901517809E-2</v>
      </c>
      <c r="C79" s="33">
        <f t="shared" si="27"/>
        <v>0.1419556699763507</v>
      </c>
      <c r="D79" s="33">
        <f t="shared" si="27"/>
        <v>0.37975166863944443</v>
      </c>
      <c r="E79" s="32">
        <f t="shared" si="27"/>
        <v>0.73818688102236385</v>
      </c>
      <c r="F79" s="33">
        <f t="shared" si="27"/>
        <v>3.1988698272428749E-2</v>
      </c>
      <c r="G79" s="9">
        <f t="shared" si="27"/>
        <v>6.6286689016740646E-2</v>
      </c>
      <c r="H79" s="9">
        <f t="shared" si="27"/>
        <v>0.36202838166566548</v>
      </c>
      <c r="I79" s="32">
        <f t="shared" si="27"/>
        <v>1.4623798954308254</v>
      </c>
      <c r="J79" s="34">
        <f t="shared" si="27"/>
        <v>5.9585032648445474E-2</v>
      </c>
      <c r="K79" s="33">
        <f t="shared" si="27"/>
        <v>9.1719013685743769E-2</v>
      </c>
      <c r="L79" s="33">
        <f t="shared" si="27"/>
        <v>0.10935115666214296</v>
      </c>
      <c r="M79" s="32">
        <f t="shared" si="27"/>
        <v>0.1111962922193649</v>
      </c>
      <c r="N79" s="34">
        <f t="shared" si="27"/>
        <v>2.2000353626761653E-2</v>
      </c>
      <c r="O79" s="33">
        <f t="shared" si="27"/>
        <v>4.9435256762165834E-2</v>
      </c>
      <c r="P79" s="33">
        <f t="shared" si="27"/>
        <v>6.3125612959033239E-2</v>
      </c>
      <c r="Q79" s="32">
        <f t="shared" si="27"/>
        <v>6.5760874959363821E-2</v>
      </c>
      <c r="R79" s="33">
        <f t="shared" si="27"/>
        <v>1.8713236147161999E-2</v>
      </c>
      <c r="S79" s="33">
        <f t="shared" si="27"/>
        <v>4.3072584370422329E-2</v>
      </c>
      <c r="T79" s="33">
        <f t="shared" si="27"/>
        <v>5.4882874121827262E-2</v>
      </c>
      <c r="U79" s="32">
        <f t="shared" si="27"/>
        <v>6.2022919490062535E-2</v>
      </c>
      <c r="V79" s="9"/>
      <c r="W79" s="9"/>
    </row>
    <row r="80" spans="1:23" x14ac:dyDescent="0.2">
      <c r="A80" s="20" t="s">
        <v>45</v>
      </c>
      <c r="B80" s="34">
        <f t="shared" si="27"/>
        <v>6.4830346219636431E-2</v>
      </c>
      <c r="C80" s="33">
        <f t="shared" si="27"/>
        <v>6.6888568168385135E-2</v>
      </c>
      <c r="D80" s="33">
        <f t="shared" si="27"/>
        <v>6.1672686020016541E-2</v>
      </c>
      <c r="E80" s="32">
        <f t="shared" si="27"/>
        <v>9.349797548950381E-2</v>
      </c>
      <c r="F80" s="33">
        <f t="shared" si="27"/>
        <v>7.8382197348315197E-2</v>
      </c>
      <c r="G80" s="9">
        <f t="shared" si="27"/>
        <v>5.9892773900086044E-2</v>
      </c>
      <c r="H80" s="9">
        <f t="shared" si="27"/>
        <v>6.0150690541006864E-2</v>
      </c>
      <c r="I80" s="32">
        <f t="shared" si="27"/>
        <v>0.17134545382788546</v>
      </c>
      <c r="J80" s="34">
        <f t="shared" si="27"/>
        <v>6.4629986747438861E-2</v>
      </c>
      <c r="K80" s="33">
        <f t="shared" si="27"/>
        <v>0.15388611852839773</v>
      </c>
      <c r="L80" s="33">
        <f t="shared" si="27"/>
        <v>0.18301627163654643</v>
      </c>
      <c r="M80" s="32">
        <f t="shared" si="27"/>
        <v>0.21372340768156947</v>
      </c>
      <c r="N80" s="34">
        <f t="shared" si="27"/>
        <v>8.2598523756345257E-2</v>
      </c>
      <c r="O80" s="33">
        <f t="shared" si="27"/>
        <v>0.13159035065320845</v>
      </c>
      <c r="P80" s="33">
        <f t="shared" si="27"/>
        <v>0.19394341344777091</v>
      </c>
      <c r="Q80" s="32">
        <f t="shared" si="27"/>
        <v>0.20409228255810302</v>
      </c>
      <c r="R80" s="33">
        <f t="shared" si="27"/>
        <v>5.030667860910442E-2</v>
      </c>
      <c r="S80" s="33">
        <f t="shared" si="27"/>
        <v>0.11480210302855441</v>
      </c>
      <c r="T80" s="33">
        <f t="shared" si="27"/>
        <v>9.9824907290200549E-2</v>
      </c>
      <c r="U80" s="32">
        <f t="shared" si="27"/>
        <v>0.11622059608457785</v>
      </c>
      <c r="V80" s="9"/>
      <c r="W80" s="9"/>
    </row>
    <row r="81" spans="1:23" x14ac:dyDescent="0.2">
      <c r="A81" s="20" t="s">
        <v>47</v>
      </c>
      <c r="B81" s="34">
        <f t="shared" si="27"/>
        <v>0.84346641440386549</v>
      </c>
      <c r="C81" s="33">
        <f t="shared" si="27"/>
        <v>1.2159531383008102</v>
      </c>
      <c r="D81" s="33">
        <f t="shared" si="27"/>
        <v>1.3063589620983307</v>
      </c>
      <c r="E81" s="32">
        <f t="shared" si="27"/>
        <v>1.9167825697627319</v>
      </c>
      <c r="F81" s="33">
        <f t="shared" si="27"/>
        <v>0.90791980314920651</v>
      </c>
      <c r="G81" s="9">
        <f t="shared" si="27"/>
        <v>1.1008859842337784</v>
      </c>
      <c r="H81" s="9">
        <f t="shared" si="27"/>
        <v>1.0775533918484721</v>
      </c>
      <c r="I81" s="32">
        <f t="shared" si="27"/>
        <v>1.950521999416571</v>
      </c>
      <c r="J81" s="34">
        <f t="shared" si="27"/>
        <v>0.8796631441525915</v>
      </c>
      <c r="K81" s="33">
        <f t="shared" si="27"/>
        <v>1.2042293946188434</v>
      </c>
      <c r="L81" s="33">
        <f t="shared" si="27"/>
        <v>1.1532616152969382</v>
      </c>
      <c r="M81" s="32">
        <f t="shared" si="27"/>
        <v>1.2231048796998942</v>
      </c>
      <c r="N81" s="34">
        <f t="shared" si="27"/>
        <v>0.91433584143509183</v>
      </c>
      <c r="O81" s="33">
        <f t="shared" si="27"/>
        <v>1.0883458752144239</v>
      </c>
      <c r="P81" s="33">
        <f t="shared" si="27"/>
        <v>1.2395884611722032</v>
      </c>
      <c r="Q81" s="32">
        <f t="shared" si="27"/>
        <v>1.2006684114684958</v>
      </c>
      <c r="R81" s="33">
        <f t="shared" si="27"/>
        <v>0.78054035570980984</v>
      </c>
      <c r="S81" s="33">
        <f t="shared" si="27"/>
        <v>1.1231298093617541</v>
      </c>
      <c r="T81" s="33">
        <f t="shared" si="27"/>
        <v>1.1667198571236079</v>
      </c>
      <c r="U81" s="32">
        <f t="shared" si="27"/>
        <v>1.225560201868066</v>
      </c>
      <c r="V81" s="9"/>
      <c r="W81" s="9"/>
    </row>
    <row r="82" spans="1:23" x14ac:dyDescent="0.2">
      <c r="A82" s="20" t="s">
        <v>48</v>
      </c>
      <c r="B82" s="34">
        <f t="shared" si="27"/>
        <v>3.6149622506538193E-2</v>
      </c>
      <c r="C82" s="33">
        <f t="shared" si="27"/>
        <v>2.356942125083137E-2</v>
      </c>
      <c r="D82" s="33">
        <f t="shared" si="27"/>
        <v>1.8318997208186829E-2</v>
      </c>
      <c r="E82" s="32">
        <f t="shared" si="27"/>
        <v>0.11178411269126649</v>
      </c>
      <c r="F82" s="33">
        <f t="shared" si="27"/>
        <v>3.3396013596062819E-2</v>
      </c>
      <c r="G82" s="9">
        <f t="shared" si="27"/>
        <v>5.9673310692088186E-2</v>
      </c>
      <c r="H82" s="9">
        <f t="shared" si="27"/>
        <v>1.8903110210164654E-2</v>
      </c>
      <c r="I82" s="32">
        <f t="shared" si="27"/>
        <v>7.9678785740590577E-2</v>
      </c>
      <c r="J82" s="34">
        <f t="shared" si="27"/>
        <v>2.7020646885577315E-2</v>
      </c>
      <c r="K82" s="33">
        <f t="shared" si="27"/>
        <v>7.280547381933701E-2</v>
      </c>
      <c r="L82" s="33">
        <f t="shared" si="27"/>
        <v>5.999794534505646E-2</v>
      </c>
      <c r="M82" s="32">
        <f t="shared" si="27"/>
        <v>4.070023439059206E-2</v>
      </c>
      <c r="N82" s="34">
        <f t="shared" si="27"/>
        <v>2.6499595066073672E-2</v>
      </c>
      <c r="O82" s="33">
        <f t="shared" si="27"/>
        <v>5.8511733160049817E-2</v>
      </c>
      <c r="P82" s="33">
        <f t="shared" si="27"/>
        <v>6.1704922714720292E-2</v>
      </c>
      <c r="Q82" s="32">
        <f t="shared" si="27"/>
        <v>5.3369178792691235E-2</v>
      </c>
      <c r="R82" s="33">
        <f t="shared" si="27"/>
        <v>2.2230441849668891E-2</v>
      </c>
      <c r="S82" s="33">
        <f t="shared" si="27"/>
        <v>4.5657274683488916E-2</v>
      </c>
      <c r="T82" s="33">
        <f t="shared" si="27"/>
        <v>5.796009724193376E-2</v>
      </c>
      <c r="U82" s="32">
        <f t="shared" si="27"/>
        <v>6.0688191499072432E-2</v>
      </c>
      <c r="V82" s="9"/>
      <c r="W82" s="9"/>
    </row>
    <row r="83" spans="1:23" x14ac:dyDescent="0.2">
      <c r="A83" s="26" t="s">
        <v>49</v>
      </c>
      <c r="B83" s="37">
        <f t="shared" si="27"/>
        <v>4.0056290927046045E-2</v>
      </c>
      <c r="C83" s="61">
        <f t="shared" si="27"/>
        <v>4.7178142525926857E-2</v>
      </c>
      <c r="D83" s="61">
        <f t="shared" si="27"/>
        <v>5.0097632699253304E-2</v>
      </c>
      <c r="E83" s="62">
        <f t="shared" si="27"/>
        <v>6.4496345477745423E-2</v>
      </c>
      <c r="F83" s="61">
        <f t="shared" si="27"/>
        <v>3.6867849659056498E-2</v>
      </c>
      <c r="G83" s="28">
        <f t="shared" si="27"/>
        <v>3.9692013721121425E-2</v>
      </c>
      <c r="H83" s="28">
        <f t="shared" si="27"/>
        <v>3.7004111682834247E-2</v>
      </c>
      <c r="I83" s="62">
        <f t="shared" si="27"/>
        <v>0.3240757399762027</v>
      </c>
      <c r="J83" s="37">
        <f t="shared" si="27"/>
        <v>3.820866159819105E-2</v>
      </c>
      <c r="K83" s="61">
        <f t="shared" si="27"/>
        <v>8.9523644042572639E-2</v>
      </c>
      <c r="L83" s="61">
        <f t="shared" si="27"/>
        <v>9.1359766735611678E-2</v>
      </c>
      <c r="M83" s="62">
        <f t="shared" si="27"/>
        <v>9.110108529013522E-2</v>
      </c>
      <c r="N83" s="37">
        <f t="shared" si="27"/>
        <v>3.7433833699664111E-2</v>
      </c>
      <c r="O83" s="61">
        <f t="shared" si="27"/>
        <v>9.4095361398803895E-2</v>
      </c>
      <c r="P83" s="61">
        <f t="shared" si="27"/>
        <v>0.10861579620653858</v>
      </c>
      <c r="Q83" s="62">
        <f t="shared" si="27"/>
        <v>0.10648918481000133</v>
      </c>
      <c r="R83" s="61">
        <f t="shared" si="27"/>
        <v>3.1782952884298832E-2</v>
      </c>
      <c r="S83" s="61">
        <f t="shared" si="27"/>
        <v>0.10023429239166895</v>
      </c>
      <c r="T83" s="61">
        <f t="shared" si="27"/>
        <v>0.1053346585960135</v>
      </c>
      <c r="U83" s="62">
        <f t="shared" si="27"/>
        <v>0.11067079039466811</v>
      </c>
      <c r="V83" s="9"/>
      <c r="W83" s="9"/>
    </row>
    <row r="84" spans="1:23" x14ac:dyDescent="0.2">
      <c r="A84" s="9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9"/>
      <c r="W84" s="9"/>
    </row>
    <row r="85" spans="1:23" x14ac:dyDescent="0.2">
      <c r="A85" s="9"/>
      <c r="B85" s="9"/>
      <c r="C85" s="9"/>
      <c r="D85" s="9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9"/>
      <c r="W85" s="9"/>
    </row>
    <row r="86" spans="1:23" ht="16" x14ac:dyDescent="0.2">
      <c r="A86" s="9"/>
      <c r="B86" s="127" t="s">
        <v>56</v>
      </c>
      <c r="C86" s="127"/>
      <c r="D86" s="127" t="s">
        <v>6</v>
      </c>
      <c r="E86" s="127"/>
      <c r="F86" s="127" t="s">
        <v>7</v>
      </c>
      <c r="G86" s="127"/>
      <c r="H86" s="127" t="s">
        <v>8</v>
      </c>
      <c r="I86" s="127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 spans="1:23" ht="16" x14ac:dyDescent="0.2">
      <c r="A87" s="9"/>
      <c r="B87" s="13" t="s">
        <v>57</v>
      </c>
      <c r="C87" s="13" t="s">
        <v>58</v>
      </c>
      <c r="D87" s="13" t="s">
        <v>57</v>
      </c>
      <c r="E87" s="13" t="s">
        <v>58</v>
      </c>
      <c r="F87" s="13" t="s">
        <v>57</v>
      </c>
      <c r="G87" s="13" t="s">
        <v>58</v>
      </c>
      <c r="H87" s="13" t="s">
        <v>57</v>
      </c>
      <c r="I87" s="13" t="s">
        <v>58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 spans="1:23" x14ac:dyDescent="0.2">
      <c r="A88" s="15" t="s">
        <v>39</v>
      </c>
      <c r="B88" s="63">
        <f>AVERAGE(B74,F74,J74,N74,R74)</f>
        <v>7.7539981859419085E-2</v>
      </c>
      <c r="C88" s="63">
        <f t="shared" ref="C88:C97" si="28">STDEVA(B74,F74,J74,N74,R74)</f>
        <v>1.0070067030249569E-2</v>
      </c>
      <c r="D88" s="63">
        <f t="shared" ref="D88:D97" si="29">AVERAGE(C74,G74,K74,O74,S74)</f>
        <v>1.1586689133621211</v>
      </c>
      <c r="E88" s="63">
        <f t="shared" ref="E88:E97" si="30">STDEVA(C74,G74,K74,O74,S74)</f>
        <v>0.49860313629102904</v>
      </c>
      <c r="F88" s="63">
        <f t="shared" ref="F88:F97" si="31">AVERAGE(D74,H74,L74,P74,T74)</f>
        <v>2.0318276860678832</v>
      </c>
      <c r="G88" s="63">
        <f t="shared" ref="G88:G97" si="32">STDEVA(D74,H74,L74,P74,T74)</f>
        <v>1.1014012409192051</v>
      </c>
      <c r="H88" s="63">
        <f t="shared" ref="H88:H97" si="33">AVERAGE(E74,I74,M74,Q74,U74)</f>
        <v>2.9337772129212509</v>
      </c>
      <c r="I88" s="63">
        <f t="shared" ref="I88:I97" si="34">STDEVA(E74,I74,M74,Q74,U74)</f>
        <v>1.4813958017005238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 spans="1:23" x14ac:dyDescent="0.2">
      <c r="A89" s="20" t="s">
        <v>40</v>
      </c>
      <c r="B89" s="64">
        <f t="shared" ref="B89:B97" si="35">AVERAGE(B75,F75,J75,N75,R75)</f>
        <v>5.7875711210480338E-2</v>
      </c>
      <c r="C89" s="64">
        <f t="shared" si="28"/>
        <v>9.7690280340296982E-3</v>
      </c>
      <c r="D89" s="64">
        <f t="shared" si="29"/>
        <v>8.77808566960223E-2</v>
      </c>
      <c r="E89" s="64">
        <f t="shared" si="30"/>
        <v>4.7840004165469914E-2</v>
      </c>
      <c r="F89" s="64">
        <f t="shared" si="31"/>
        <v>0.11521772179033136</v>
      </c>
      <c r="G89" s="64">
        <f t="shared" si="32"/>
        <v>2.8215518280556306E-2</v>
      </c>
      <c r="H89" s="64">
        <f t="shared" si="33"/>
        <v>0.12386815959690436</v>
      </c>
      <c r="I89" s="64">
        <f t="shared" si="34"/>
        <v>4.8217428296088577E-2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 spans="1:23" x14ac:dyDescent="0.2">
      <c r="A90" s="20" t="s">
        <v>41</v>
      </c>
      <c r="B90" s="64">
        <f t="shared" si="35"/>
        <v>2.7032161674114302E-2</v>
      </c>
      <c r="C90" s="64">
        <f t="shared" si="28"/>
        <v>3.898357934378701E-2</v>
      </c>
      <c r="D90" s="64">
        <f t="shared" si="29"/>
        <v>0.62644468438236989</v>
      </c>
      <c r="E90" s="64">
        <f t="shared" si="30"/>
        <v>0.43553719809404529</v>
      </c>
      <c r="F90" s="64">
        <f t="shared" si="31"/>
        <v>1.1362448175898736</v>
      </c>
      <c r="G90" s="64">
        <f t="shared" si="32"/>
        <v>0.83517565024632057</v>
      </c>
      <c r="H90" s="64">
        <f t="shared" si="33"/>
        <v>1.7536382388051579</v>
      </c>
      <c r="I90" s="64">
        <f t="shared" si="34"/>
        <v>1.2488152589193755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 spans="1:23" x14ac:dyDescent="0.2">
      <c r="A91" s="20" t="s">
        <v>42</v>
      </c>
      <c r="B91" s="64">
        <f t="shared" si="35"/>
        <v>0.22688512776118869</v>
      </c>
      <c r="C91" s="64">
        <f t="shared" si="28"/>
        <v>5.0954893016052612E-2</v>
      </c>
      <c r="D91" s="64">
        <f t="shared" si="29"/>
        <v>0.62823568209327463</v>
      </c>
      <c r="E91" s="64">
        <f t="shared" si="30"/>
        <v>7.7864002912109612E-2</v>
      </c>
      <c r="F91" s="64">
        <f t="shared" si="31"/>
        <v>0.72075807335207953</v>
      </c>
      <c r="G91" s="64">
        <f t="shared" si="32"/>
        <v>0.15999999917839491</v>
      </c>
      <c r="H91" s="64">
        <f t="shared" si="33"/>
        <v>0.85505358303686418</v>
      </c>
      <c r="I91" s="64">
        <f t="shared" si="34"/>
        <v>0.32848172776190782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 spans="1:23" x14ac:dyDescent="0.2">
      <c r="A92" s="20" t="s">
        <v>43</v>
      </c>
      <c r="B92" s="64">
        <f t="shared" si="35"/>
        <v>3.3091282910097136E-2</v>
      </c>
      <c r="C92" s="64">
        <f t="shared" si="28"/>
        <v>1.4753631095777089E-2</v>
      </c>
      <c r="D92" s="64">
        <f t="shared" si="29"/>
        <v>5.7545373092088715E-2</v>
      </c>
      <c r="E92" s="64">
        <f t="shared" si="30"/>
        <v>1.5608365828459094E-2</v>
      </c>
      <c r="F92" s="64">
        <f t="shared" si="31"/>
        <v>4.1215644312078706E-2</v>
      </c>
      <c r="G92" s="64">
        <f t="shared" si="32"/>
        <v>1.8962988661815398E-2</v>
      </c>
      <c r="H92" s="64">
        <f t="shared" si="33"/>
        <v>3.7449732150585377E-2</v>
      </c>
      <c r="I92" s="64">
        <f t="shared" si="34"/>
        <v>2.9039693913862522E-2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 spans="1:23" x14ac:dyDescent="0.2">
      <c r="A93" s="20" t="s">
        <v>44</v>
      </c>
      <c r="B93" s="64">
        <f t="shared" si="35"/>
        <v>3.5397593941995195E-2</v>
      </c>
      <c r="C93" s="64">
        <f t="shared" si="28"/>
        <v>1.6889741247641143E-2</v>
      </c>
      <c r="D93" s="64">
        <f t="shared" si="29"/>
        <v>7.8493842762284646E-2</v>
      </c>
      <c r="E93" s="64">
        <f t="shared" si="30"/>
        <v>4.015716071966309E-2</v>
      </c>
      <c r="F93" s="64">
        <f t="shared" si="31"/>
        <v>0.19382793880962268</v>
      </c>
      <c r="G93" s="64">
        <f t="shared" si="32"/>
        <v>0.16308293748630137</v>
      </c>
      <c r="H93" s="64">
        <f t="shared" si="33"/>
        <v>0.48790937262439604</v>
      </c>
      <c r="I93" s="64">
        <f t="shared" si="34"/>
        <v>0.61516928585165975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 spans="1:23" x14ac:dyDescent="0.2">
      <c r="A94" s="20" t="s">
        <v>45</v>
      </c>
      <c r="B94" s="64">
        <f t="shared" si="35"/>
        <v>6.8149546536168032E-2</v>
      </c>
      <c r="C94" s="64">
        <f t="shared" si="28"/>
        <v>1.2798949303193511E-2</v>
      </c>
      <c r="D94" s="64">
        <f t="shared" si="29"/>
        <v>0.10541198285572635</v>
      </c>
      <c r="E94" s="64">
        <f t="shared" si="30"/>
        <v>4.086341575827046E-2</v>
      </c>
      <c r="F94" s="64">
        <f t="shared" si="31"/>
        <v>0.11972159378710825</v>
      </c>
      <c r="G94" s="64">
        <f t="shared" si="32"/>
        <v>6.4863975167015919E-2</v>
      </c>
      <c r="H94" s="64">
        <f t="shared" si="33"/>
        <v>0.15977594312832794</v>
      </c>
      <c r="I94" s="64">
        <f t="shared" si="34"/>
        <v>5.3145925762093961E-2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 spans="1:23" x14ac:dyDescent="0.2">
      <c r="A95" s="20" t="s">
        <v>47</v>
      </c>
      <c r="B95" s="64">
        <f t="shared" si="35"/>
        <v>0.86518511177011315</v>
      </c>
      <c r="C95" s="64">
        <f t="shared" si="28"/>
        <v>5.4972943434314053E-2</v>
      </c>
      <c r="D95" s="64">
        <f t="shared" si="29"/>
        <v>1.146508840345922</v>
      </c>
      <c r="E95" s="64">
        <f t="shared" si="30"/>
        <v>5.9508670600376491E-2</v>
      </c>
      <c r="F95" s="64">
        <f t="shared" si="31"/>
        <v>1.1886964575079104</v>
      </c>
      <c r="G95" s="64">
        <f t="shared" si="32"/>
        <v>8.7358229541645224E-2</v>
      </c>
      <c r="H95" s="64">
        <f t="shared" si="33"/>
        <v>1.5033276124431518</v>
      </c>
      <c r="I95" s="64">
        <f t="shared" si="34"/>
        <v>0.39313163435768284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 spans="1:23" x14ac:dyDescent="0.2">
      <c r="A96" s="20" t="s">
        <v>48</v>
      </c>
      <c r="B96" s="64">
        <f t="shared" si="35"/>
        <v>2.9059263980784178E-2</v>
      </c>
      <c r="C96" s="64">
        <f t="shared" si="28"/>
        <v>5.6218604029619618E-3</v>
      </c>
      <c r="D96" s="64">
        <f t="shared" si="29"/>
        <v>5.2043442721159058E-2</v>
      </c>
      <c r="E96" s="64">
        <f t="shared" si="30"/>
        <v>1.8592126308436339E-2</v>
      </c>
      <c r="F96" s="64">
        <f t="shared" si="31"/>
        <v>4.3377014544012396E-2</v>
      </c>
      <c r="G96" s="64">
        <f t="shared" si="32"/>
        <v>2.2647903245809956E-2</v>
      </c>
      <c r="H96" s="64">
        <f t="shared" si="33"/>
        <v>6.9244100622842558E-2</v>
      </c>
      <c r="I96" s="64">
        <f t="shared" si="34"/>
        <v>2.7651872919480704E-2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 spans="1:23" x14ac:dyDescent="0.2">
      <c r="A97" s="26" t="s">
        <v>49</v>
      </c>
      <c r="B97" s="65">
        <f t="shared" si="35"/>
        <v>3.6869917753651303E-2</v>
      </c>
      <c r="C97" s="65">
        <f t="shared" si="28"/>
        <v>3.0878967815744637E-3</v>
      </c>
      <c r="D97" s="65">
        <f t="shared" si="29"/>
        <v>7.4144690816018752E-2</v>
      </c>
      <c r="E97" s="65">
        <f t="shared" si="30"/>
        <v>2.8413863056220602E-2</v>
      </c>
      <c r="F97" s="65">
        <f t="shared" si="31"/>
        <v>7.8482393184050259E-2</v>
      </c>
      <c r="G97" s="65">
        <f t="shared" si="32"/>
        <v>3.2867291298227221E-2</v>
      </c>
      <c r="H97" s="65">
        <f t="shared" si="33"/>
        <v>0.13936662918975057</v>
      </c>
      <c r="I97" s="65">
        <f t="shared" si="34"/>
        <v>0.10482957029347746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 spans="1:23" x14ac:dyDescent="0.2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 spans="1:23" x14ac:dyDescent="0.2">
      <c r="A99" s="66" t="s">
        <v>59</v>
      </c>
      <c r="B99" s="67">
        <f>SUM(B90:B92)</f>
        <v>0.28700857234540011</v>
      </c>
      <c r="C99" s="67">
        <f>AVERAGE(C88:C97)</f>
        <v>2.1790258968958108E-2</v>
      </c>
      <c r="D99" s="67">
        <f>SUM(D90:D92)</f>
        <v>1.3122257395677333</v>
      </c>
      <c r="E99" s="67">
        <f>AVERAGE(E88:E97)</f>
        <v>0.12629879437340799</v>
      </c>
      <c r="F99" s="67">
        <f>SUM(F90:F92)</f>
        <v>1.8982185352540319</v>
      </c>
      <c r="G99" s="67">
        <f>AVERAGE(G88:G97)</f>
        <v>0.25145757340252917</v>
      </c>
      <c r="H99" s="67">
        <f>SUM(H90:H92)</f>
        <v>2.6461415539926079</v>
      </c>
      <c r="I99" s="67">
        <f>AVERAGE(I88:I97)</f>
        <v>0.43298781997761521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 spans="1:23" x14ac:dyDescent="0.2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</sheetData>
  <mergeCells count="7">
    <mergeCell ref="B24:U24"/>
    <mergeCell ref="B39:U39"/>
    <mergeCell ref="B72:U72"/>
    <mergeCell ref="B86:C86"/>
    <mergeCell ref="D86:E86"/>
    <mergeCell ref="F86:G86"/>
    <mergeCell ref="H86:I8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402A6-0505-4EA5-9964-9551CF65E2A6}">
  <dimension ref="A1:W100"/>
  <sheetViews>
    <sheetView topLeftCell="A56" zoomScale="105" workbookViewId="0">
      <selection activeCell="N74" sqref="N74"/>
    </sheetView>
  </sheetViews>
  <sheetFormatPr baseColWidth="10" defaultColWidth="11.5" defaultRowHeight="15" x14ac:dyDescent="0.2"/>
  <cols>
    <col min="1" max="1" width="29.5" bestFit="1" customWidth="1"/>
    <col min="2" max="2" width="18.33203125" bestFit="1" customWidth="1"/>
    <col min="3" max="5" width="17.1640625" bestFit="1" customWidth="1"/>
    <col min="6" max="6" width="15.33203125" bestFit="1" customWidth="1"/>
    <col min="7" max="21" width="12.5" bestFit="1" customWidth="1"/>
  </cols>
  <sheetData>
    <row r="1" spans="1:23" hidden="1" x14ac:dyDescent="0.2">
      <c r="A1" s="7" t="s">
        <v>12</v>
      </c>
      <c r="B1" s="7">
        <v>20</v>
      </c>
      <c r="C1" s="7"/>
      <c r="D1" s="7"/>
      <c r="E1" s="8"/>
      <c r="F1" s="8"/>
      <c r="G1" s="8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 hidden="1" x14ac:dyDescent="0.2">
      <c r="A2" s="10"/>
      <c r="B2" s="8"/>
      <c r="C2" s="8"/>
      <c r="D2" s="8"/>
      <c r="E2" s="8"/>
      <c r="F2" s="8"/>
      <c r="G2" s="8"/>
      <c r="H2" s="11"/>
      <c r="I2" s="11"/>
      <c r="J2" s="11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hidden="1" x14ac:dyDescent="0.2">
      <c r="A3" s="7" t="s">
        <v>13</v>
      </c>
      <c r="B3" s="7">
        <v>2.5100000000000001E-2</v>
      </c>
      <c r="C3" s="12" t="s">
        <v>14</v>
      </c>
      <c r="D3" s="7"/>
      <c r="E3" s="12"/>
      <c r="F3" s="12"/>
      <c r="G3" s="12"/>
      <c r="H3" s="11"/>
      <c r="I3" s="11"/>
      <c r="J3" s="11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hidden="1" x14ac:dyDescent="0.2">
      <c r="A4" s="7" t="s">
        <v>15</v>
      </c>
      <c r="B4" s="7">
        <v>1.1662213962132653</v>
      </c>
      <c r="C4" s="12" t="s">
        <v>16</v>
      </c>
      <c r="D4" s="7"/>
      <c r="E4" s="12"/>
      <c r="F4" s="12"/>
      <c r="G4" s="12"/>
      <c r="H4" s="11"/>
      <c r="I4" s="11"/>
      <c r="J4" s="11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spans="1:23" hidden="1" x14ac:dyDescent="0.2">
      <c r="A5" s="7" t="s">
        <v>17</v>
      </c>
      <c r="B5" s="7">
        <v>0.23324427924265306</v>
      </c>
      <c r="C5" s="12" t="s">
        <v>16</v>
      </c>
      <c r="D5" s="7"/>
      <c r="E5" s="12"/>
      <c r="F5" s="12"/>
      <c r="G5" s="12"/>
      <c r="H5" s="11"/>
      <c r="I5" s="11"/>
      <c r="J5" s="11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spans="1:23" hidden="1" x14ac:dyDescent="0.2">
      <c r="A6" s="7" t="s">
        <v>17</v>
      </c>
      <c r="B6" s="7">
        <v>20.080000000000002</v>
      </c>
      <c r="C6" s="12" t="s">
        <v>18</v>
      </c>
      <c r="D6" s="7"/>
      <c r="E6" s="12" t="s">
        <v>18</v>
      </c>
      <c r="F6" s="12"/>
      <c r="G6" s="12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spans="1:23" hidden="1" x14ac:dyDescent="0.2">
      <c r="A7" s="10"/>
      <c r="B7" s="8"/>
      <c r="C7" s="8"/>
      <c r="D7" s="8"/>
      <c r="E7" s="8"/>
      <c r="F7" s="8"/>
      <c r="G7" s="8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spans="1:23" hidden="1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spans="1:23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spans="1:23" ht="16" x14ac:dyDescent="0.2">
      <c r="A10" s="9"/>
      <c r="B10" s="13" t="s">
        <v>19</v>
      </c>
      <c r="C10" s="13" t="s">
        <v>20</v>
      </c>
      <c r="D10" s="13" t="s">
        <v>21</v>
      </c>
      <c r="E10" s="13" t="s">
        <v>22</v>
      </c>
      <c r="F10" s="13" t="s">
        <v>23</v>
      </c>
      <c r="G10" s="13" t="s">
        <v>24</v>
      </c>
      <c r="H10" s="13" t="s">
        <v>25</v>
      </c>
      <c r="I10" s="13" t="s">
        <v>26</v>
      </c>
      <c r="J10" s="14" t="s">
        <v>27</v>
      </c>
      <c r="K10" s="13" t="s">
        <v>28</v>
      </c>
      <c r="L10" s="13" t="s">
        <v>29</v>
      </c>
      <c r="M10" s="13" t="s">
        <v>30</v>
      </c>
      <c r="N10" s="13" t="s">
        <v>31</v>
      </c>
      <c r="O10" s="13" t="s">
        <v>32</v>
      </c>
      <c r="P10" s="13" t="s">
        <v>33</v>
      </c>
      <c r="Q10" s="13" t="s">
        <v>34</v>
      </c>
      <c r="R10" s="13" t="s">
        <v>35</v>
      </c>
      <c r="S10" s="13" t="s">
        <v>36</v>
      </c>
      <c r="T10" s="13" t="s">
        <v>37</v>
      </c>
      <c r="U10" s="13" t="s">
        <v>38</v>
      </c>
      <c r="V10" s="9"/>
      <c r="W10" s="9"/>
    </row>
    <row r="11" spans="1:23" x14ac:dyDescent="0.2">
      <c r="A11" s="15" t="s">
        <v>39</v>
      </c>
      <c r="B11" s="70">
        <v>92785</v>
      </c>
      <c r="C11" s="9">
        <v>328162</v>
      </c>
      <c r="D11" s="9">
        <v>1825058</v>
      </c>
      <c r="E11" s="16">
        <v>3511286</v>
      </c>
      <c r="F11" s="70">
        <v>88066</v>
      </c>
      <c r="G11" s="9">
        <v>551542</v>
      </c>
      <c r="H11" s="9">
        <v>2914164</v>
      </c>
      <c r="I11" s="9">
        <v>5098969</v>
      </c>
      <c r="J11" s="70">
        <v>67739</v>
      </c>
      <c r="K11" s="19">
        <v>1010053</v>
      </c>
      <c r="L11" s="19">
        <v>3930396</v>
      </c>
      <c r="M11" s="16">
        <v>2848053</v>
      </c>
      <c r="N11" s="70">
        <v>82365</v>
      </c>
      <c r="O11" s="9">
        <v>376960</v>
      </c>
      <c r="P11" s="9">
        <v>2971582</v>
      </c>
      <c r="Q11" s="16">
        <v>4641345</v>
      </c>
      <c r="R11" s="71">
        <v>66763</v>
      </c>
      <c r="S11" s="19">
        <v>1517364</v>
      </c>
      <c r="T11" s="19">
        <v>3970748</v>
      </c>
      <c r="U11" s="16">
        <v>6259256</v>
      </c>
      <c r="V11" s="9"/>
      <c r="W11" s="9"/>
    </row>
    <row r="12" spans="1:23" x14ac:dyDescent="0.2">
      <c r="A12" s="20" t="s">
        <v>40</v>
      </c>
      <c r="B12" s="2">
        <v>107710</v>
      </c>
      <c r="C12" s="9">
        <v>10487</v>
      </c>
      <c r="D12" s="9">
        <v>61599</v>
      </c>
      <c r="E12" s="17">
        <v>109472</v>
      </c>
      <c r="F12" s="2">
        <v>82786</v>
      </c>
      <c r="G12" s="9">
        <v>17351</v>
      </c>
      <c r="H12" s="9">
        <v>45744</v>
      </c>
      <c r="I12" s="9">
        <v>41577</v>
      </c>
      <c r="J12" s="2">
        <v>67189</v>
      </c>
      <c r="K12" s="9">
        <v>59438</v>
      </c>
      <c r="L12" s="9">
        <v>51540</v>
      </c>
      <c r="M12" s="17">
        <v>122362</v>
      </c>
      <c r="N12" s="2">
        <v>79404</v>
      </c>
      <c r="O12" s="9">
        <v>15287</v>
      </c>
      <c r="P12" s="9">
        <v>71760</v>
      </c>
      <c r="Q12" s="17">
        <v>113535</v>
      </c>
      <c r="R12">
        <v>67994</v>
      </c>
      <c r="S12" s="9">
        <v>53941</v>
      </c>
      <c r="T12" s="9">
        <v>47795</v>
      </c>
      <c r="U12" s="17">
        <v>197748</v>
      </c>
      <c r="V12" s="9"/>
      <c r="W12" s="9"/>
    </row>
    <row r="13" spans="1:23" x14ac:dyDescent="0.2">
      <c r="A13" s="20" t="s">
        <v>41</v>
      </c>
      <c r="B13" s="22">
        <v>6869</v>
      </c>
      <c r="C13" s="9">
        <v>365835</v>
      </c>
      <c r="D13" s="9">
        <v>1192355</v>
      </c>
      <c r="E13" s="17">
        <v>1489104</v>
      </c>
      <c r="F13" s="2">
        <v>22979</v>
      </c>
      <c r="G13" s="9">
        <v>164294</v>
      </c>
      <c r="H13" s="9">
        <v>713094</v>
      </c>
      <c r="I13" s="9">
        <v>955989</v>
      </c>
      <c r="J13" s="22">
        <v>70287</v>
      </c>
      <c r="K13" s="9">
        <v>279686</v>
      </c>
      <c r="L13" s="9">
        <v>1212803</v>
      </c>
      <c r="M13" s="17">
        <v>815560</v>
      </c>
      <c r="N13" s="22">
        <v>16950</v>
      </c>
      <c r="O13" s="9">
        <v>254021</v>
      </c>
      <c r="P13" s="9">
        <v>1063616</v>
      </c>
      <c r="Q13" s="17">
        <v>1328528</v>
      </c>
      <c r="R13">
        <v>6718</v>
      </c>
      <c r="S13" s="9">
        <v>71087</v>
      </c>
      <c r="T13" s="9">
        <v>178476</v>
      </c>
      <c r="U13" s="17">
        <v>242639</v>
      </c>
      <c r="V13" s="9"/>
      <c r="W13" s="9"/>
    </row>
    <row r="14" spans="1:23" x14ac:dyDescent="0.2">
      <c r="A14" s="20" t="s">
        <v>42</v>
      </c>
      <c r="B14" s="2">
        <v>236649</v>
      </c>
      <c r="C14" s="9">
        <v>114401</v>
      </c>
      <c r="D14" s="9">
        <v>112009</v>
      </c>
      <c r="E14" s="17">
        <v>131470</v>
      </c>
      <c r="F14" s="2">
        <v>148107</v>
      </c>
      <c r="G14" s="9">
        <v>640398</v>
      </c>
      <c r="H14" s="9">
        <v>884877</v>
      </c>
      <c r="I14" s="9">
        <v>1049265</v>
      </c>
      <c r="J14" s="2">
        <v>126288</v>
      </c>
      <c r="K14" s="9">
        <v>430019</v>
      </c>
      <c r="L14" s="9">
        <v>677093</v>
      </c>
      <c r="M14" s="17">
        <v>362417</v>
      </c>
      <c r="N14" s="2">
        <v>152178</v>
      </c>
      <c r="O14" s="9">
        <v>410308</v>
      </c>
      <c r="P14" s="9">
        <v>459622</v>
      </c>
      <c r="Q14" s="17">
        <v>428463</v>
      </c>
      <c r="R14">
        <v>127094</v>
      </c>
      <c r="S14" s="9">
        <v>510408</v>
      </c>
      <c r="T14" s="9">
        <v>671106</v>
      </c>
      <c r="U14" s="17">
        <v>732093</v>
      </c>
      <c r="V14" s="9"/>
      <c r="W14" s="9"/>
    </row>
    <row r="15" spans="1:23" x14ac:dyDescent="0.2">
      <c r="A15" s="20" t="s">
        <v>43</v>
      </c>
      <c r="B15" s="2">
        <v>35767</v>
      </c>
      <c r="C15" s="9">
        <v>27825</v>
      </c>
      <c r="D15" s="9">
        <v>71536</v>
      </c>
      <c r="E15" s="17">
        <v>78185</v>
      </c>
      <c r="F15" s="2">
        <v>36622</v>
      </c>
      <c r="G15" s="9">
        <v>56936</v>
      </c>
      <c r="H15" s="9">
        <v>66976</v>
      </c>
      <c r="I15" s="9">
        <v>72926</v>
      </c>
      <c r="J15" s="2">
        <v>66040</v>
      </c>
      <c r="K15" s="9">
        <v>38813</v>
      </c>
      <c r="L15" s="9">
        <v>105750</v>
      </c>
      <c r="M15" s="17">
        <v>67980</v>
      </c>
      <c r="N15" s="2">
        <v>39796</v>
      </c>
      <c r="O15" s="9">
        <v>26094</v>
      </c>
      <c r="P15" s="9">
        <v>114546</v>
      </c>
      <c r="Q15" s="17">
        <v>68700</v>
      </c>
      <c r="R15">
        <v>42941</v>
      </c>
      <c r="S15" s="9">
        <v>30293</v>
      </c>
      <c r="T15" s="9">
        <v>112549</v>
      </c>
      <c r="U15" s="17">
        <v>76019</v>
      </c>
      <c r="V15" s="9"/>
      <c r="W15" s="9"/>
    </row>
    <row r="16" spans="1:23" x14ac:dyDescent="0.2">
      <c r="A16" s="20" t="s">
        <v>44</v>
      </c>
      <c r="B16" s="2">
        <v>34084</v>
      </c>
      <c r="C16" s="9">
        <v>45388</v>
      </c>
      <c r="D16" s="9">
        <v>78975</v>
      </c>
      <c r="E16" s="17">
        <v>217106</v>
      </c>
      <c r="F16" s="2">
        <v>21942</v>
      </c>
      <c r="G16" s="9">
        <v>8833</v>
      </c>
      <c r="H16" s="9">
        <v>117101</v>
      </c>
      <c r="I16" s="9">
        <v>140822</v>
      </c>
      <c r="J16" s="2">
        <v>40563</v>
      </c>
      <c r="K16" s="9">
        <v>93583</v>
      </c>
      <c r="L16" s="9">
        <v>138830</v>
      </c>
      <c r="M16" s="17">
        <v>19990</v>
      </c>
      <c r="N16" s="22">
        <v>15466</v>
      </c>
      <c r="O16" s="9">
        <v>38577</v>
      </c>
      <c r="P16" s="9">
        <v>26260</v>
      </c>
      <c r="Q16" s="17">
        <v>70708</v>
      </c>
      <c r="R16">
        <v>12680</v>
      </c>
      <c r="S16" s="9">
        <v>70308</v>
      </c>
      <c r="T16" s="9">
        <v>96426</v>
      </c>
      <c r="U16" s="17">
        <v>22651</v>
      </c>
      <c r="V16" s="9"/>
      <c r="W16" s="9"/>
    </row>
    <row r="17" spans="1:23" x14ac:dyDescent="0.2">
      <c r="A17" s="20" t="s">
        <v>45</v>
      </c>
      <c r="B17" s="22">
        <v>23785</v>
      </c>
      <c r="C17" s="9">
        <v>49510</v>
      </c>
      <c r="D17" s="9">
        <v>90868</v>
      </c>
      <c r="E17" s="17">
        <v>74675</v>
      </c>
      <c r="F17" s="2">
        <v>30348</v>
      </c>
      <c r="G17" s="9">
        <v>61336</v>
      </c>
      <c r="H17" s="9">
        <v>126270</v>
      </c>
      <c r="I17" s="9">
        <v>186458</v>
      </c>
      <c r="J17" s="2">
        <v>21104</v>
      </c>
      <c r="K17" s="9">
        <v>77675</v>
      </c>
      <c r="L17" s="9">
        <v>173588</v>
      </c>
      <c r="M17" s="17">
        <v>118943</v>
      </c>
      <c r="N17" s="2">
        <v>33957</v>
      </c>
      <c r="O17" s="9">
        <v>56421</v>
      </c>
      <c r="P17" s="9">
        <v>122314</v>
      </c>
      <c r="Q17" s="17">
        <v>186407</v>
      </c>
      <c r="R17">
        <v>11660</v>
      </c>
      <c r="S17" s="9">
        <v>43446</v>
      </c>
      <c r="T17" s="9">
        <v>60017</v>
      </c>
      <c r="U17" s="17">
        <v>80340</v>
      </c>
      <c r="V17" s="9"/>
      <c r="W17" s="9"/>
    </row>
    <row r="18" spans="1:23" x14ac:dyDescent="0.2">
      <c r="A18" s="23" t="s">
        <v>46</v>
      </c>
      <c r="B18" s="74">
        <v>5670700</v>
      </c>
      <c r="C18" s="24">
        <v>5295739</v>
      </c>
      <c r="D18" s="24">
        <v>5468847</v>
      </c>
      <c r="E18" s="25">
        <v>5373212</v>
      </c>
      <c r="F18" s="74">
        <v>5101285</v>
      </c>
      <c r="G18" s="24">
        <v>5226752</v>
      </c>
      <c r="H18" s="24">
        <v>5335696</v>
      </c>
      <c r="I18" s="24">
        <v>5494637</v>
      </c>
      <c r="J18" s="74">
        <v>5062824</v>
      </c>
      <c r="K18" s="24">
        <v>5246222</v>
      </c>
      <c r="L18" s="24">
        <v>5277429</v>
      </c>
      <c r="M18" s="25">
        <v>5300939</v>
      </c>
      <c r="N18" s="74">
        <v>5228153</v>
      </c>
      <c r="O18" s="24">
        <v>5287167</v>
      </c>
      <c r="P18" s="24">
        <v>5136759</v>
      </c>
      <c r="Q18" s="25">
        <v>5292821</v>
      </c>
      <c r="R18" s="75">
        <v>5039301</v>
      </c>
      <c r="S18" s="24">
        <v>5226463</v>
      </c>
      <c r="T18" s="24">
        <v>5185071</v>
      </c>
      <c r="U18" s="25">
        <v>5176482</v>
      </c>
      <c r="V18" s="9"/>
      <c r="W18" s="9"/>
    </row>
    <row r="19" spans="1:23" x14ac:dyDescent="0.2">
      <c r="A19" s="20" t="s">
        <v>47</v>
      </c>
      <c r="B19" s="2">
        <v>590395</v>
      </c>
      <c r="C19" s="9">
        <v>697110</v>
      </c>
      <c r="D19" s="9">
        <v>771100</v>
      </c>
      <c r="E19" s="17">
        <v>725826</v>
      </c>
      <c r="F19" s="2">
        <v>572047</v>
      </c>
      <c r="G19" s="9">
        <v>756067</v>
      </c>
      <c r="H19" s="9">
        <v>731368</v>
      </c>
      <c r="I19" s="9">
        <v>762478</v>
      </c>
      <c r="J19" s="2">
        <v>549923</v>
      </c>
      <c r="K19" s="9">
        <v>684607</v>
      </c>
      <c r="L19" s="9">
        <v>1056772</v>
      </c>
      <c r="M19" s="17">
        <v>585912</v>
      </c>
      <c r="N19" s="2">
        <v>590450</v>
      </c>
      <c r="O19" s="9">
        <v>624249</v>
      </c>
      <c r="P19" s="9">
        <v>734202</v>
      </c>
      <c r="Q19" s="17">
        <v>756086</v>
      </c>
      <c r="R19">
        <v>485178</v>
      </c>
      <c r="S19" s="9">
        <v>640903</v>
      </c>
      <c r="T19" s="9">
        <v>762519</v>
      </c>
      <c r="U19" s="17">
        <v>805721</v>
      </c>
      <c r="V19" s="9"/>
      <c r="W19" s="9"/>
    </row>
    <row r="20" spans="1:23" x14ac:dyDescent="0.2">
      <c r="A20" s="20" t="s">
        <v>48</v>
      </c>
      <c r="B20" s="2">
        <v>20645</v>
      </c>
      <c r="C20" s="9">
        <v>40840</v>
      </c>
      <c r="D20" s="9">
        <v>64851</v>
      </c>
      <c r="E20" s="17">
        <v>141853</v>
      </c>
      <c r="F20" s="2">
        <v>16963</v>
      </c>
      <c r="G20" s="9">
        <v>26975</v>
      </c>
      <c r="H20" s="9">
        <v>160164</v>
      </c>
      <c r="I20" s="9">
        <v>205009</v>
      </c>
      <c r="J20" s="2">
        <v>13138</v>
      </c>
      <c r="K20" s="9">
        <v>31913</v>
      </c>
      <c r="L20" s="9">
        <v>49393</v>
      </c>
      <c r="M20" s="17">
        <v>16036</v>
      </c>
      <c r="N20" s="2">
        <v>13255</v>
      </c>
      <c r="O20" s="9">
        <v>30000</v>
      </c>
      <c r="P20" s="9">
        <v>44324</v>
      </c>
      <c r="Q20" s="17">
        <v>41091</v>
      </c>
      <c r="R20">
        <v>10312</v>
      </c>
      <c r="S20" s="9">
        <v>23455</v>
      </c>
      <c r="T20" s="9">
        <v>44961</v>
      </c>
      <c r="U20" s="17">
        <v>44042</v>
      </c>
      <c r="V20" s="9"/>
      <c r="W20" s="9"/>
    </row>
    <row r="21" spans="1:23" x14ac:dyDescent="0.2">
      <c r="A21" s="26" t="s">
        <v>49</v>
      </c>
      <c r="B21" s="68">
        <v>26012</v>
      </c>
      <c r="C21" s="28">
        <v>83115</v>
      </c>
      <c r="D21" s="28">
        <v>126738</v>
      </c>
      <c r="E21" s="29">
        <v>118426</v>
      </c>
      <c r="F21" s="68">
        <v>21375</v>
      </c>
      <c r="G21" s="28">
        <v>107518</v>
      </c>
      <c r="H21" s="28">
        <v>108205</v>
      </c>
      <c r="I21" s="28">
        <v>116009</v>
      </c>
      <c r="J21" s="68">
        <v>22059</v>
      </c>
      <c r="K21" s="28">
        <v>87096</v>
      </c>
      <c r="L21" s="28">
        <v>127686</v>
      </c>
      <c r="M21" s="29">
        <v>61352</v>
      </c>
      <c r="N21" s="68">
        <v>22275</v>
      </c>
      <c r="O21" s="28">
        <v>92528</v>
      </c>
      <c r="P21" s="28">
        <v>125301</v>
      </c>
      <c r="Q21" s="29">
        <v>119001</v>
      </c>
      <c r="R21" s="77">
        <v>17925</v>
      </c>
      <c r="S21" s="28">
        <v>111334</v>
      </c>
      <c r="T21" s="28">
        <v>163301</v>
      </c>
      <c r="U21" s="29">
        <v>172332</v>
      </c>
      <c r="V21" s="9"/>
      <c r="W21" s="9"/>
    </row>
    <row r="22" spans="1:23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spans="1:23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 spans="1:23" ht="16" x14ac:dyDescent="0.2">
      <c r="A24" s="9"/>
      <c r="B24" s="124" t="s">
        <v>50</v>
      </c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9"/>
      <c r="W24" s="9"/>
    </row>
    <row r="25" spans="1:23" ht="16" x14ac:dyDescent="0.2">
      <c r="A25" s="9"/>
      <c r="B25" s="13" t="str">
        <f t="shared" ref="B25:U25" si="0">B10</f>
        <v>A_0h</v>
      </c>
      <c r="C25" s="13" t="str">
        <f t="shared" si="0"/>
        <v>A_12h</v>
      </c>
      <c r="D25" s="13" t="str">
        <f t="shared" si="0"/>
        <v>A_24h</v>
      </c>
      <c r="E25" s="13" t="str">
        <f t="shared" si="0"/>
        <v>A_48h</v>
      </c>
      <c r="F25" s="13" t="str">
        <f t="shared" si="0"/>
        <v>B_0h</v>
      </c>
      <c r="G25" s="13" t="str">
        <f t="shared" si="0"/>
        <v>B_12h</v>
      </c>
      <c r="H25" s="13" t="str">
        <f t="shared" si="0"/>
        <v>B_24h</v>
      </c>
      <c r="I25" s="13" t="str">
        <f t="shared" si="0"/>
        <v>B_48h</v>
      </c>
      <c r="J25" s="13" t="str">
        <f t="shared" si="0"/>
        <v>C_0h</v>
      </c>
      <c r="K25" s="13" t="str">
        <f t="shared" si="0"/>
        <v>C_12h</v>
      </c>
      <c r="L25" s="13" t="str">
        <f t="shared" si="0"/>
        <v>C_24h</v>
      </c>
      <c r="M25" s="13" t="str">
        <f t="shared" si="0"/>
        <v>C_48h</v>
      </c>
      <c r="N25" s="13" t="str">
        <f t="shared" si="0"/>
        <v>D_0h</v>
      </c>
      <c r="O25" s="13" t="str">
        <f t="shared" si="0"/>
        <v>D_12h</v>
      </c>
      <c r="P25" s="13" t="str">
        <f t="shared" si="0"/>
        <v>D_24h</v>
      </c>
      <c r="Q25" s="13" t="str">
        <f t="shared" si="0"/>
        <v>D_48h</v>
      </c>
      <c r="R25" s="13" t="str">
        <f t="shared" si="0"/>
        <v>E_0h</v>
      </c>
      <c r="S25" s="13" t="str">
        <f t="shared" si="0"/>
        <v>E_12h</v>
      </c>
      <c r="T25" s="13" t="str">
        <f t="shared" si="0"/>
        <v>E_24h</v>
      </c>
      <c r="U25" s="13" t="str">
        <f t="shared" si="0"/>
        <v>E_48h</v>
      </c>
      <c r="V25" s="9"/>
      <c r="W25" s="9"/>
    </row>
    <row r="26" spans="1:23" x14ac:dyDescent="0.2">
      <c r="A26" s="15" t="s">
        <v>39</v>
      </c>
      <c r="B26" s="18">
        <f>B11/$B$18</f>
        <v>1.6362177508949513E-2</v>
      </c>
      <c r="C26" s="19">
        <f t="shared" ref="C26:C36" si="1">C11/$C$18</f>
        <v>6.1967177763103509E-2</v>
      </c>
      <c r="D26" s="19">
        <f t="shared" ref="D26:D36" si="2">D11/$D$18</f>
        <v>0.33371897220748725</v>
      </c>
      <c r="E26" s="16">
        <f t="shared" ref="E26:E36" si="3">E11/$E$18</f>
        <v>0.65347989247399885</v>
      </c>
      <c r="F26" s="19">
        <f t="shared" ref="F26:F36" si="4">F11/$F$18</f>
        <v>1.7263493413914338E-2</v>
      </c>
      <c r="G26" s="19">
        <f t="shared" ref="G26:G36" si="5">G11/$G$18</f>
        <v>0.10552289452417103</v>
      </c>
      <c r="H26" s="19">
        <f t="shared" ref="H26:H36" si="6">H11/$H$18</f>
        <v>0.54616379943684945</v>
      </c>
      <c r="I26" s="19">
        <f t="shared" ref="I26:I36" si="7">I11/$I$18</f>
        <v>0.92799014748381015</v>
      </c>
      <c r="J26" s="18">
        <f t="shared" ref="J26:J36" si="8">J11/$J$18</f>
        <v>1.3379686909914309E-2</v>
      </c>
      <c r="K26" s="19">
        <f t="shared" ref="K26:K36" si="9">K11/$K$18</f>
        <v>0.19252959558325972</v>
      </c>
      <c r="L26" s="19">
        <f t="shared" ref="L26:L36" si="10">L11/$L$18</f>
        <v>0.74475582712718635</v>
      </c>
      <c r="M26" s="16">
        <f t="shared" ref="M26:M36" si="11">M11/$M$18</f>
        <v>0.53727330195650247</v>
      </c>
      <c r="N26" s="31">
        <f t="shared" ref="N26:N36" si="12">N11/$N$18</f>
        <v>1.5754129613268778E-2</v>
      </c>
      <c r="O26" s="31">
        <f t="shared" ref="O26:O36" si="13">O11/$O$18</f>
        <v>7.1297161599018902E-2</v>
      </c>
      <c r="P26" s="19">
        <f t="shared" ref="P26:P36" si="14">P11/$P$18</f>
        <v>0.57849355984970285</v>
      </c>
      <c r="Q26" s="19">
        <f t="shared" ref="Q26:Q36" si="15">Q11/$Q$18</f>
        <v>0.87691327554814347</v>
      </c>
      <c r="R26" s="18">
        <f t="shared" ref="R26:R36" si="16">R11/$R$18</f>
        <v>1.3248464419966181E-2</v>
      </c>
      <c r="S26" s="19">
        <f t="shared" ref="S26:S36" si="17">S11/$S$18</f>
        <v>0.29032330277665797</v>
      </c>
      <c r="T26" s="19">
        <f t="shared" ref="T26:T36" si="18">T11/$T$18</f>
        <v>0.76580397838332392</v>
      </c>
      <c r="U26" s="16">
        <f t="shared" ref="U26:U36" si="19">U11/$U$18</f>
        <v>1.2091717888712836</v>
      </c>
      <c r="V26" s="9"/>
      <c r="W26" s="9"/>
    </row>
    <row r="27" spans="1:23" x14ac:dyDescent="0.2">
      <c r="A27" s="20" t="s">
        <v>40</v>
      </c>
      <c r="B27" s="22">
        <f t="shared" ref="B27:B36" si="20">B12/$B$18</f>
        <v>1.899412770910117E-2</v>
      </c>
      <c r="C27" s="9">
        <f t="shared" si="1"/>
        <v>1.9802713086879849E-3</v>
      </c>
      <c r="D27" s="9">
        <f t="shared" si="2"/>
        <v>1.1263617358466968E-2</v>
      </c>
      <c r="E27" s="17">
        <f t="shared" si="3"/>
        <v>2.0373661042966479E-2</v>
      </c>
      <c r="F27" s="9">
        <f t="shared" si="4"/>
        <v>1.6228460084076857E-2</v>
      </c>
      <c r="G27" s="9">
        <f t="shared" si="5"/>
        <v>3.3196524342459714E-3</v>
      </c>
      <c r="H27" s="9">
        <f t="shared" si="6"/>
        <v>8.5732020714823325E-3</v>
      </c>
      <c r="I27" s="9">
        <f t="shared" si="7"/>
        <v>7.5668328954214808E-3</v>
      </c>
      <c r="J27" s="22">
        <f t="shared" si="8"/>
        <v>1.3271051887247117E-2</v>
      </c>
      <c r="K27" s="9">
        <f t="shared" si="9"/>
        <v>1.1329676860796207E-2</v>
      </c>
      <c r="L27" s="9">
        <f t="shared" si="10"/>
        <v>9.7661190704792043E-3</v>
      </c>
      <c r="M27" s="32">
        <f t="shared" si="11"/>
        <v>2.3083080186359437E-2</v>
      </c>
      <c r="N27" s="9">
        <f t="shared" si="12"/>
        <v>1.5187772813840757E-2</v>
      </c>
      <c r="O27" s="33">
        <f t="shared" si="13"/>
        <v>2.8913404853676836E-3</v>
      </c>
      <c r="P27" s="9">
        <f t="shared" si="14"/>
        <v>1.3969898140052901E-2</v>
      </c>
      <c r="Q27" s="9">
        <f t="shared" si="15"/>
        <v>2.1450753766280778E-2</v>
      </c>
      <c r="R27" s="22">
        <f t="shared" si="16"/>
        <v>1.34927443310094E-2</v>
      </c>
      <c r="S27" s="9">
        <f t="shared" si="17"/>
        <v>1.0320746554601076E-2</v>
      </c>
      <c r="T27" s="9">
        <f t="shared" si="18"/>
        <v>9.2178101322045545E-3</v>
      </c>
      <c r="U27" s="17">
        <f t="shared" si="19"/>
        <v>3.8201233965461483E-2</v>
      </c>
      <c r="V27" s="9"/>
      <c r="W27" s="9"/>
    </row>
    <row r="28" spans="1:23" x14ac:dyDescent="0.2">
      <c r="A28" s="20" t="s">
        <v>41</v>
      </c>
      <c r="B28" s="22">
        <f t="shared" si="20"/>
        <v>1.2113142998218915E-3</v>
      </c>
      <c r="C28" s="9">
        <f t="shared" si="1"/>
        <v>6.9081010223502326E-2</v>
      </c>
      <c r="D28" s="9">
        <f t="shared" si="2"/>
        <v>0.21802676139961494</v>
      </c>
      <c r="E28" s="17">
        <f t="shared" si="3"/>
        <v>0.27713479386259093</v>
      </c>
      <c r="F28" s="33">
        <f t="shared" si="4"/>
        <v>4.5045513042302086E-3</v>
      </c>
      <c r="G28" s="33">
        <f t="shared" si="5"/>
        <v>3.1433287823872266E-2</v>
      </c>
      <c r="H28" s="9">
        <f t="shared" si="6"/>
        <v>0.13364591985750313</v>
      </c>
      <c r="I28" s="9">
        <f t="shared" si="7"/>
        <v>0.17398583382305327</v>
      </c>
      <c r="J28" s="22">
        <f t="shared" si="8"/>
        <v>1.388296334219795E-2</v>
      </c>
      <c r="K28" s="9">
        <f t="shared" si="9"/>
        <v>5.3311888059636055E-2</v>
      </c>
      <c r="L28" s="9">
        <f t="shared" si="10"/>
        <v>0.22980943940695364</v>
      </c>
      <c r="M28" s="17">
        <f t="shared" si="11"/>
        <v>0.15385198735544778</v>
      </c>
      <c r="N28" s="9">
        <f t="shared" si="12"/>
        <v>3.2420627322880566E-3</v>
      </c>
      <c r="O28" s="9">
        <f t="shared" si="13"/>
        <v>4.8044822491894054E-2</v>
      </c>
      <c r="P28" s="9">
        <f t="shared" si="14"/>
        <v>0.20705974331285545</v>
      </c>
      <c r="Q28" s="9">
        <f t="shared" si="15"/>
        <v>0.25100565464050267</v>
      </c>
      <c r="R28" s="22">
        <f t="shared" si="16"/>
        <v>1.3331213991781797E-3</v>
      </c>
      <c r="S28" s="9">
        <f t="shared" si="17"/>
        <v>1.3601359083571433E-2</v>
      </c>
      <c r="T28" s="9">
        <f t="shared" si="18"/>
        <v>3.4421129431014538E-2</v>
      </c>
      <c r="U28" s="17">
        <f t="shared" si="19"/>
        <v>4.6873339847409885E-2</v>
      </c>
      <c r="V28" s="9"/>
      <c r="W28" s="9"/>
    </row>
    <row r="29" spans="1:23" x14ac:dyDescent="0.2">
      <c r="A29" s="20" t="s">
        <v>42</v>
      </c>
      <c r="B29" s="22">
        <f t="shared" si="20"/>
        <v>4.1731884952475005E-2</v>
      </c>
      <c r="C29" s="9">
        <f t="shared" si="1"/>
        <v>2.1602461903806061E-2</v>
      </c>
      <c r="D29" s="9">
        <f t="shared" si="2"/>
        <v>2.0481282434853271E-2</v>
      </c>
      <c r="E29" s="17">
        <f t="shared" si="3"/>
        <v>2.4467674083955743E-2</v>
      </c>
      <c r="F29" s="9">
        <f t="shared" si="4"/>
        <v>2.90332729890606E-2</v>
      </c>
      <c r="G29" s="9">
        <f t="shared" si="5"/>
        <v>0.1225231271734339</v>
      </c>
      <c r="H29" s="9">
        <f t="shared" si="6"/>
        <v>0.165840969950312</v>
      </c>
      <c r="I29" s="9">
        <f t="shared" si="7"/>
        <v>0.19096165952364097</v>
      </c>
      <c r="J29" s="22">
        <f t="shared" si="8"/>
        <v>2.4944181350171367E-2</v>
      </c>
      <c r="K29" s="9">
        <f t="shared" si="9"/>
        <v>8.1967366230403516E-2</v>
      </c>
      <c r="L29" s="9">
        <f t="shared" si="10"/>
        <v>0.12829978385308452</v>
      </c>
      <c r="M29" s="17">
        <f t="shared" si="11"/>
        <v>6.836845321178002E-2</v>
      </c>
      <c r="N29" s="9">
        <f t="shared" si="12"/>
        <v>2.910741135540601E-2</v>
      </c>
      <c r="O29" s="9">
        <f t="shared" si="13"/>
        <v>7.7604509182327697E-2</v>
      </c>
      <c r="P29" s="9">
        <f t="shared" si="14"/>
        <v>8.9477041846814306E-2</v>
      </c>
      <c r="Q29" s="9">
        <f t="shared" si="15"/>
        <v>8.0951726876839408E-2</v>
      </c>
      <c r="R29" s="22">
        <f t="shared" si="16"/>
        <v>2.5220561343726043E-2</v>
      </c>
      <c r="S29" s="9">
        <f t="shared" si="17"/>
        <v>9.7658397275557099E-2</v>
      </c>
      <c r="T29" s="33">
        <f t="shared" si="18"/>
        <v>0.12943043595738613</v>
      </c>
      <c r="U29" s="17">
        <f t="shared" si="19"/>
        <v>0.14142674503649388</v>
      </c>
      <c r="V29" s="9"/>
      <c r="W29" s="9"/>
    </row>
    <row r="30" spans="1:23" x14ac:dyDescent="0.2">
      <c r="A30" s="20" t="s">
        <v>43</v>
      </c>
      <c r="B30" s="22">
        <f t="shared" si="20"/>
        <v>6.3073341915460173E-3</v>
      </c>
      <c r="C30" s="9">
        <f t="shared" si="1"/>
        <v>5.254224197982567E-3</v>
      </c>
      <c r="D30" s="9">
        <f t="shared" si="2"/>
        <v>1.3080636558309273E-2</v>
      </c>
      <c r="E30" s="17">
        <f t="shared" si="3"/>
        <v>1.455088688106853E-2</v>
      </c>
      <c r="F30" s="9">
        <f t="shared" si="4"/>
        <v>7.1789754934295964E-3</v>
      </c>
      <c r="G30" s="9">
        <f t="shared" si="5"/>
        <v>1.0893189498946956E-2</v>
      </c>
      <c r="H30" s="9">
        <f t="shared" si="6"/>
        <v>1.2552439269403654E-2</v>
      </c>
      <c r="I30" s="33">
        <f t="shared" si="7"/>
        <v>1.3272214342821919E-2</v>
      </c>
      <c r="J30" s="34">
        <f t="shared" si="8"/>
        <v>1.3044103448984204E-2</v>
      </c>
      <c r="K30" s="9">
        <f t="shared" si="9"/>
        <v>7.3982763215128906E-3</v>
      </c>
      <c r="L30" s="9">
        <f t="shared" si="10"/>
        <v>2.003816631166426E-2</v>
      </c>
      <c r="M30" s="17">
        <f t="shared" si="11"/>
        <v>1.2824143043336284E-2</v>
      </c>
      <c r="N30" s="9">
        <f t="shared" si="12"/>
        <v>7.6118659878546017E-3</v>
      </c>
      <c r="O30" s="9">
        <f t="shared" si="13"/>
        <v>4.9353462828013563E-3</v>
      </c>
      <c r="P30" s="9">
        <f t="shared" si="14"/>
        <v>2.2299274698306851E-2</v>
      </c>
      <c r="Q30" s="9">
        <f t="shared" si="15"/>
        <v>1.2979845719324345E-2</v>
      </c>
      <c r="R30" s="22">
        <f t="shared" si="16"/>
        <v>8.5212214948065211E-3</v>
      </c>
      <c r="S30" s="9">
        <f t="shared" si="17"/>
        <v>5.7960804467572045E-3</v>
      </c>
      <c r="T30" s="9">
        <f t="shared" si="18"/>
        <v>2.1706356576409465E-2</v>
      </c>
      <c r="U30" s="17">
        <f t="shared" si="19"/>
        <v>1.4685456261607787E-2</v>
      </c>
      <c r="V30" s="9"/>
      <c r="W30" s="9"/>
    </row>
    <row r="31" spans="1:23" x14ac:dyDescent="0.2">
      <c r="A31" s="20" t="s">
        <v>44</v>
      </c>
      <c r="B31" s="22">
        <f t="shared" si="20"/>
        <v>6.0105454353078106E-3</v>
      </c>
      <c r="C31" s="9">
        <f t="shared" si="1"/>
        <v>8.5706640754009966E-3</v>
      </c>
      <c r="D31" s="9">
        <f t="shared" si="2"/>
        <v>1.4440886717072172E-2</v>
      </c>
      <c r="E31" s="17">
        <f t="shared" si="3"/>
        <v>4.0405254808483268E-2</v>
      </c>
      <c r="F31" s="9">
        <f t="shared" si="4"/>
        <v>4.3012691900178096E-3</v>
      </c>
      <c r="G31" s="9">
        <f t="shared" si="5"/>
        <v>1.6899596537199393E-3</v>
      </c>
      <c r="H31" s="9">
        <f t="shared" si="6"/>
        <v>2.1946715105208393E-2</v>
      </c>
      <c r="I31" s="9">
        <f t="shared" si="7"/>
        <v>2.562899059573908E-2</v>
      </c>
      <c r="J31" s="22">
        <f t="shared" si="8"/>
        <v>8.0119316808168715E-3</v>
      </c>
      <c r="K31" s="9">
        <f t="shared" si="9"/>
        <v>1.7838170020254576E-2</v>
      </c>
      <c r="L31" s="9">
        <f t="shared" si="10"/>
        <v>2.6306370014641599E-2</v>
      </c>
      <c r="M31" s="17">
        <f t="shared" si="11"/>
        <v>3.7710300005338675E-3</v>
      </c>
      <c r="N31" s="33">
        <f t="shared" si="12"/>
        <v>2.9582148800924532E-3</v>
      </c>
      <c r="O31" s="33">
        <f t="shared" si="13"/>
        <v>7.2963460393817708E-3</v>
      </c>
      <c r="P31" s="9">
        <f t="shared" si="14"/>
        <v>5.1121728700918223E-3</v>
      </c>
      <c r="Q31" s="9">
        <f t="shared" si="15"/>
        <v>1.3359227527248701E-2</v>
      </c>
      <c r="R31" s="22">
        <f t="shared" si="16"/>
        <v>2.5162219918992731E-3</v>
      </c>
      <c r="S31" s="9">
        <f t="shared" si="17"/>
        <v>1.3452309908249614E-2</v>
      </c>
      <c r="T31" s="9">
        <f t="shared" si="18"/>
        <v>1.8596852386399337E-2</v>
      </c>
      <c r="U31" s="17">
        <f t="shared" si="19"/>
        <v>4.3757517170928059E-3</v>
      </c>
      <c r="V31" s="9"/>
      <c r="W31" s="9"/>
    </row>
    <row r="32" spans="1:23" x14ac:dyDescent="0.2">
      <c r="A32" s="20" t="s">
        <v>45</v>
      </c>
      <c r="B32" s="22">
        <f t="shared" si="20"/>
        <v>4.1943675383991396E-3</v>
      </c>
      <c r="C32" s="33">
        <f t="shared" si="1"/>
        <v>9.3490256978298967E-3</v>
      </c>
      <c r="D32" s="9">
        <f t="shared" si="2"/>
        <v>1.6615568144437026E-2</v>
      </c>
      <c r="E32" s="17">
        <f t="shared" si="3"/>
        <v>1.3897646324023695E-2</v>
      </c>
      <c r="F32" s="9">
        <f t="shared" si="4"/>
        <v>5.9490892980886192E-3</v>
      </c>
      <c r="G32" s="9">
        <f t="shared" si="5"/>
        <v>1.1735012489592007E-2</v>
      </c>
      <c r="H32" s="9">
        <f t="shared" si="6"/>
        <v>2.3665141342385322E-2</v>
      </c>
      <c r="I32" s="33">
        <f t="shared" si="7"/>
        <v>3.3934543810628437E-2</v>
      </c>
      <c r="J32" s="22">
        <f t="shared" si="8"/>
        <v>4.168424578851645E-3</v>
      </c>
      <c r="K32" s="33">
        <f t="shared" si="9"/>
        <v>1.4805892697640322E-2</v>
      </c>
      <c r="L32" s="9">
        <f t="shared" si="10"/>
        <v>3.2892531571717974E-2</v>
      </c>
      <c r="M32" s="17">
        <f t="shared" si="11"/>
        <v>2.2438100117733856E-2</v>
      </c>
      <c r="N32" s="9">
        <f t="shared" si="12"/>
        <v>6.4950279764192055E-3</v>
      </c>
      <c r="O32" s="9">
        <f t="shared" si="13"/>
        <v>1.0671310363376077E-2</v>
      </c>
      <c r="P32" s="9">
        <f t="shared" si="14"/>
        <v>2.3811512278461965E-2</v>
      </c>
      <c r="Q32" s="33">
        <f t="shared" si="15"/>
        <v>3.5218836986930034E-2</v>
      </c>
      <c r="R32" s="22">
        <f t="shared" si="16"/>
        <v>2.313812967314316E-3</v>
      </c>
      <c r="S32" s="9">
        <f t="shared" si="17"/>
        <v>8.3126963684618076E-3</v>
      </c>
      <c r="T32" s="9">
        <f t="shared" si="18"/>
        <v>1.1574962040056924E-2</v>
      </c>
      <c r="U32" s="17">
        <f t="shared" si="19"/>
        <v>1.5520193057756213E-2</v>
      </c>
      <c r="V32" s="9"/>
      <c r="W32" s="9"/>
    </row>
    <row r="33" spans="1:23" x14ac:dyDescent="0.2">
      <c r="A33" s="20" t="s">
        <v>46</v>
      </c>
      <c r="B33" s="35">
        <f t="shared" si="20"/>
        <v>1</v>
      </c>
      <c r="C33" s="9">
        <f t="shared" si="1"/>
        <v>1</v>
      </c>
      <c r="D33" s="9">
        <f t="shared" si="2"/>
        <v>1</v>
      </c>
      <c r="E33" s="17">
        <f t="shared" si="3"/>
        <v>1</v>
      </c>
      <c r="F33" s="9">
        <f t="shared" si="4"/>
        <v>1</v>
      </c>
      <c r="G33" s="9">
        <f t="shared" si="5"/>
        <v>1</v>
      </c>
      <c r="H33" s="36">
        <f t="shared" si="6"/>
        <v>1</v>
      </c>
      <c r="I33" s="9">
        <f t="shared" si="7"/>
        <v>1</v>
      </c>
      <c r="J33" s="22">
        <f t="shared" si="8"/>
        <v>1</v>
      </c>
      <c r="K33" s="36">
        <f t="shared" si="9"/>
        <v>1</v>
      </c>
      <c r="L33" s="9">
        <f t="shared" si="10"/>
        <v>1</v>
      </c>
      <c r="M33" s="17">
        <f t="shared" si="11"/>
        <v>1</v>
      </c>
      <c r="N33" s="9">
        <f t="shared" si="12"/>
        <v>1</v>
      </c>
      <c r="O33" s="9">
        <f t="shared" si="13"/>
        <v>1</v>
      </c>
      <c r="P33" s="9">
        <f t="shared" si="14"/>
        <v>1</v>
      </c>
      <c r="Q33" s="9">
        <f t="shared" si="15"/>
        <v>1</v>
      </c>
      <c r="R33" s="22">
        <f t="shared" si="16"/>
        <v>1</v>
      </c>
      <c r="S33" s="9">
        <f t="shared" si="17"/>
        <v>1</v>
      </c>
      <c r="T33" s="9">
        <f t="shared" si="18"/>
        <v>1</v>
      </c>
      <c r="U33" s="17">
        <f t="shared" si="19"/>
        <v>1</v>
      </c>
      <c r="V33" s="9"/>
      <c r="W33" s="9"/>
    </row>
    <row r="34" spans="1:23" x14ac:dyDescent="0.2">
      <c r="A34" s="20" t="s">
        <v>47</v>
      </c>
      <c r="B34" s="22">
        <f t="shared" si="20"/>
        <v>0.10411324880526214</v>
      </c>
      <c r="C34" s="9">
        <f t="shared" si="1"/>
        <v>0.13163601907118155</v>
      </c>
      <c r="D34" s="9">
        <f t="shared" si="2"/>
        <v>0.14099864194408804</v>
      </c>
      <c r="E34" s="17">
        <f t="shared" si="3"/>
        <v>0.13508233064319813</v>
      </c>
      <c r="F34" s="9">
        <f t="shared" si="4"/>
        <v>0.11213782409726177</v>
      </c>
      <c r="G34" s="9">
        <f t="shared" si="5"/>
        <v>0.14465331433364353</v>
      </c>
      <c r="H34" s="9">
        <f t="shared" si="6"/>
        <v>0.13707077764550304</v>
      </c>
      <c r="I34" s="9">
        <f t="shared" si="7"/>
        <v>0.13876767473447291</v>
      </c>
      <c r="J34" s="22">
        <f t="shared" si="8"/>
        <v>0.10861981376401787</v>
      </c>
      <c r="K34" s="9">
        <f t="shared" si="9"/>
        <v>0.1304952401938004</v>
      </c>
      <c r="L34" s="9">
        <f t="shared" si="10"/>
        <v>0.2002437171584876</v>
      </c>
      <c r="M34" s="17">
        <f t="shared" si="11"/>
        <v>0.11052985140934464</v>
      </c>
      <c r="N34" s="33">
        <f t="shared" si="12"/>
        <v>0.11293663364480726</v>
      </c>
      <c r="O34" s="33">
        <f t="shared" si="13"/>
        <v>0.11806871241252641</v>
      </c>
      <c r="P34" s="9">
        <f t="shared" si="14"/>
        <v>0.14293098041002117</v>
      </c>
      <c r="Q34" s="9">
        <f t="shared" si="15"/>
        <v>0.14285123188560506</v>
      </c>
      <c r="R34" s="22">
        <f t="shared" si="16"/>
        <v>9.6278829147137673E-2</v>
      </c>
      <c r="S34" s="9">
        <f t="shared" si="17"/>
        <v>0.12262652581679044</v>
      </c>
      <c r="T34" s="9">
        <f t="shared" si="18"/>
        <v>0.1470604741960139</v>
      </c>
      <c r="U34" s="17">
        <f t="shared" si="19"/>
        <v>0.15565030458910126</v>
      </c>
      <c r="V34" s="9"/>
      <c r="W34" s="9"/>
    </row>
    <row r="35" spans="1:23" x14ac:dyDescent="0.2">
      <c r="A35" s="20" t="s">
        <v>48</v>
      </c>
      <c r="B35" s="34">
        <f t="shared" si="20"/>
        <v>3.640644012203079E-3</v>
      </c>
      <c r="C35" s="9">
        <f t="shared" si="1"/>
        <v>7.7118604221242774E-3</v>
      </c>
      <c r="D35" s="9">
        <f t="shared" si="2"/>
        <v>1.1858258239808135E-2</v>
      </c>
      <c r="E35" s="17">
        <f t="shared" si="3"/>
        <v>2.640003781723111E-2</v>
      </c>
      <c r="F35" s="33">
        <f t="shared" si="4"/>
        <v>3.3252406011426532E-3</v>
      </c>
      <c r="G35" s="9">
        <f t="shared" si="5"/>
        <v>5.1609489028750554E-3</v>
      </c>
      <c r="H35" s="9">
        <f t="shared" si="6"/>
        <v>3.0017452268644992E-2</v>
      </c>
      <c r="I35" s="9">
        <f t="shared" si="7"/>
        <v>3.731074500462906E-2</v>
      </c>
      <c r="J35" s="22">
        <f t="shared" si="8"/>
        <v>2.5949944141846525E-3</v>
      </c>
      <c r="K35" s="9">
        <f t="shared" si="9"/>
        <v>6.0830441410981081E-3</v>
      </c>
      <c r="L35" s="9">
        <f t="shared" si="10"/>
        <v>9.3592921856457002E-3</v>
      </c>
      <c r="M35" s="17">
        <f t="shared" si="11"/>
        <v>3.0251244166363731E-3</v>
      </c>
      <c r="N35" s="9">
        <f t="shared" si="12"/>
        <v>2.5353121838630199E-3</v>
      </c>
      <c r="O35" s="9">
        <f t="shared" si="13"/>
        <v>5.6741162138438219E-3</v>
      </c>
      <c r="P35" s="9">
        <f t="shared" si="14"/>
        <v>8.6287871399066997E-3</v>
      </c>
      <c r="Q35" s="9">
        <f t="shared" si="15"/>
        <v>7.7635347955277538E-3</v>
      </c>
      <c r="R35" s="22">
        <f t="shared" si="16"/>
        <v>2.0463155505098824E-3</v>
      </c>
      <c r="S35" s="9">
        <f t="shared" si="17"/>
        <v>4.4877386484894278E-3</v>
      </c>
      <c r="T35" s="9">
        <f t="shared" si="18"/>
        <v>8.6712409531132743E-3</v>
      </c>
      <c r="U35" s="17">
        <f t="shared" si="19"/>
        <v>8.5080948798817429E-3</v>
      </c>
      <c r="V35" s="9"/>
      <c r="W35" s="9"/>
    </row>
    <row r="36" spans="1:23" x14ac:dyDescent="0.2">
      <c r="A36" s="26" t="s">
        <v>49</v>
      </c>
      <c r="B36" s="27">
        <f t="shared" si="20"/>
        <v>4.5870880138254534E-3</v>
      </c>
      <c r="C36" s="28">
        <f t="shared" si="1"/>
        <v>1.5694693412949542E-2</v>
      </c>
      <c r="D36" s="28">
        <f t="shared" si="2"/>
        <v>2.3174537521345906E-2</v>
      </c>
      <c r="E36" s="29">
        <f t="shared" si="3"/>
        <v>2.2040075842903649E-2</v>
      </c>
      <c r="F36" s="28">
        <f t="shared" si="4"/>
        <v>4.1901207244841249E-3</v>
      </c>
      <c r="G36" s="28">
        <f t="shared" si="5"/>
        <v>2.0570710070039674E-2</v>
      </c>
      <c r="H36" s="28">
        <f t="shared" si="6"/>
        <v>2.0279453702010009E-2</v>
      </c>
      <c r="I36" s="28">
        <f t="shared" si="7"/>
        <v>2.1113132678282479E-2</v>
      </c>
      <c r="J36" s="27">
        <f t="shared" si="8"/>
        <v>4.357054481846495E-3</v>
      </c>
      <c r="K36" s="28">
        <f t="shared" si="9"/>
        <v>1.66016611573052E-2</v>
      </c>
      <c r="L36" s="28">
        <f t="shared" si="10"/>
        <v>2.4194735732115013E-2</v>
      </c>
      <c r="M36" s="29">
        <f t="shared" si="11"/>
        <v>1.1573798528902144E-2</v>
      </c>
      <c r="N36" s="28">
        <f t="shared" si="12"/>
        <v>4.2605868649980214E-3</v>
      </c>
      <c r="O36" s="28">
        <f t="shared" si="13"/>
        <v>1.7500487501151372E-2</v>
      </c>
      <c r="P36" s="28">
        <f t="shared" si="14"/>
        <v>2.4393007341788859E-2</v>
      </c>
      <c r="Q36" s="28">
        <f t="shared" si="15"/>
        <v>2.2483473368927458E-2</v>
      </c>
      <c r="R36" s="37">
        <f t="shared" si="16"/>
        <v>3.5570409467503531E-3</v>
      </c>
      <c r="S36" s="28">
        <f t="shared" si="17"/>
        <v>2.1301978029883688E-2</v>
      </c>
      <c r="T36" s="28">
        <f t="shared" si="18"/>
        <v>3.1494457838667979E-2</v>
      </c>
      <c r="U36" s="29">
        <f t="shared" si="19"/>
        <v>3.3291335698646299E-2</v>
      </c>
      <c r="V36" s="9"/>
      <c r="W36" s="9"/>
    </row>
    <row r="37" spans="1:23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 spans="1:23" x14ac:dyDescent="0.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 spans="1:23" ht="16" x14ac:dyDescent="0.2">
      <c r="A39" s="9"/>
      <c r="B39" s="124" t="s">
        <v>51</v>
      </c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9"/>
      <c r="W39" s="9"/>
    </row>
    <row r="40" spans="1:23" ht="16" x14ac:dyDescent="0.2">
      <c r="A40" s="9"/>
      <c r="B40" s="13" t="str">
        <f t="shared" ref="B40:U40" si="21">B10</f>
        <v>A_0h</v>
      </c>
      <c r="C40" s="13" t="str">
        <f t="shared" si="21"/>
        <v>A_12h</v>
      </c>
      <c r="D40" s="13" t="str">
        <f t="shared" si="21"/>
        <v>A_24h</v>
      </c>
      <c r="E40" s="13" t="str">
        <f t="shared" si="21"/>
        <v>A_48h</v>
      </c>
      <c r="F40" s="13" t="str">
        <f t="shared" si="21"/>
        <v>B_0h</v>
      </c>
      <c r="G40" s="13" t="str">
        <f t="shared" si="21"/>
        <v>B_12h</v>
      </c>
      <c r="H40" s="13" t="str">
        <f t="shared" si="21"/>
        <v>B_24h</v>
      </c>
      <c r="I40" s="13" t="str">
        <f t="shared" si="21"/>
        <v>B_48h</v>
      </c>
      <c r="J40" s="13" t="str">
        <f t="shared" si="21"/>
        <v>C_0h</v>
      </c>
      <c r="K40" s="13" t="str">
        <f t="shared" si="21"/>
        <v>C_12h</v>
      </c>
      <c r="L40" s="13" t="str">
        <f t="shared" si="21"/>
        <v>C_24h</v>
      </c>
      <c r="M40" s="13" t="str">
        <f t="shared" si="21"/>
        <v>C_48h</v>
      </c>
      <c r="N40" s="13" t="str">
        <f t="shared" si="21"/>
        <v>D_0h</v>
      </c>
      <c r="O40" s="13" t="str">
        <f t="shared" si="21"/>
        <v>D_12h</v>
      </c>
      <c r="P40" s="13" t="str">
        <f t="shared" si="21"/>
        <v>D_24h</v>
      </c>
      <c r="Q40" s="13" t="str">
        <f t="shared" si="21"/>
        <v>D_48h</v>
      </c>
      <c r="R40" s="13" t="str">
        <f t="shared" si="21"/>
        <v>E_0h</v>
      </c>
      <c r="S40" s="13" t="str">
        <f t="shared" si="21"/>
        <v>E_12h</v>
      </c>
      <c r="T40" s="13" t="str">
        <f t="shared" si="21"/>
        <v>E_24h</v>
      </c>
      <c r="U40" s="13" t="str">
        <f t="shared" si="21"/>
        <v>E_48h</v>
      </c>
      <c r="V40" s="9"/>
      <c r="W40" s="9"/>
    </row>
    <row r="41" spans="1:23" x14ac:dyDescent="0.2">
      <c r="A41" s="15" t="s">
        <v>39</v>
      </c>
      <c r="B41" s="38">
        <f>(B26-$E53)/$C53</f>
        <v>4.1839381969304208</v>
      </c>
      <c r="C41" s="39">
        <f t="shared" ref="C41:U41" si="22">(C26-$E53)/$C53</f>
        <v>16.851993823084307</v>
      </c>
      <c r="D41" s="39">
        <f t="shared" si="22"/>
        <v>92.338603390968672</v>
      </c>
      <c r="E41" s="40">
        <f t="shared" si="22"/>
        <v>181.16108124277747</v>
      </c>
      <c r="F41" s="39">
        <f t="shared" si="22"/>
        <v>4.4343037260873164</v>
      </c>
      <c r="G41" s="39">
        <f t="shared" si="22"/>
        <v>28.950804034491956</v>
      </c>
      <c r="H41" s="39">
        <f t="shared" si="22"/>
        <v>151.35105539912487</v>
      </c>
      <c r="I41" s="40">
        <f t="shared" si="22"/>
        <v>257.41392985661395</v>
      </c>
      <c r="J41" s="39">
        <f t="shared" si="22"/>
        <v>3.3554685860873086</v>
      </c>
      <c r="K41" s="39">
        <f t="shared" si="22"/>
        <v>53.119332106461037</v>
      </c>
      <c r="L41" s="39">
        <f t="shared" si="22"/>
        <v>206.51550753532956</v>
      </c>
      <c r="M41" s="40">
        <f t="shared" si="22"/>
        <v>148.88147276569515</v>
      </c>
      <c r="N41" s="38">
        <f t="shared" si="22"/>
        <v>4.015036003685772</v>
      </c>
      <c r="O41" s="39">
        <f t="shared" si="22"/>
        <v>19.443655999727476</v>
      </c>
      <c r="P41" s="39">
        <f t="shared" si="22"/>
        <v>160.33154440269524</v>
      </c>
      <c r="Q41" s="40">
        <f t="shared" si="22"/>
        <v>243.2259098744843</v>
      </c>
      <c r="R41" s="39">
        <f t="shared" si="22"/>
        <v>3.3190178944350506</v>
      </c>
      <c r="S41" s="39">
        <f t="shared" si="22"/>
        <v>80.28425077129387</v>
      </c>
      <c r="T41" s="39">
        <f t="shared" si="22"/>
        <v>212.36221621759</v>
      </c>
      <c r="U41" s="40">
        <f t="shared" si="22"/>
        <v>335.5199413531343</v>
      </c>
      <c r="V41" s="9"/>
      <c r="W41" s="9"/>
    </row>
    <row r="42" spans="1:23" x14ac:dyDescent="0.2">
      <c r="A42" s="20" t="s">
        <v>40</v>
      </c>
      <c r="B42" s="41">
        <f t="shared" ref="B42:U47" si="23">(B27-$E54)/$C54</f>
        <v>3.6237766060627439</v>
      </c>
      <c r="C42" s="42">
        <f t="shared" si="23"/>
        <v>7.9223189309996847E-2</v>
      </c>
      <c r="D42" s="42">
        <f t="shared" si="23"/>
        <v>2.0132536163472849</v>
      </c>
      <c r="E42" s="43">
        <f t="shared" si="23"/>
        <v>3.91117938395135</v>
      </c>
      <c r="F42" s="42">
        <f t="shared" si="23"/>
        <v>3.0475958508493455</v>
      </c>
      <c r="G42" s="42">
        <f t="shared" si="23"/>
        <v>0.35826092380124408</v>
      </c>
      <c r="H42" s="42">
        <f t="shared" si="23"/>
        <v>1.4527504315588193</v>
      </c>
      <c r="I42" s="43">
        <f t="shared" si="23"/>
        <v>1.2430901865461419</v>
      </c>
      <c r="J42" s="42">
        <f t="shared" si="23"/>
        <v>2.4314691431764826</v>
      </c>
      <c r="K42" s="42">
        <f t="shared" si="23"/>
        <v>2.0270160126658765</v>
      </c>
      <c r="L42" s="42">
        <f t="shared" si="23"/>
        <v>1.7012748063498342</v>
      </c>
      <c r="M42" s="43">
        <f t="shared" si="23"/>
        <v>4.47564170549155</v>
      </c>
      <c r="N42" s="41">
        <f t="shared" si="23"/>
        <v>2.830786002883491</v>
      </c>
      <c r="O42" s="42">
        <f t="shared" si="23"/>
        <v>0.26902926778493408</v>
      </c>
      <c r="P42" s="42">
        <f t="shared" si="23"/>
        <v>2.5770621125110211</v>
      </c>
      <c r="Q42" s="43">
        <f t="shared" si="23"/>
        <v>4.1355737013084957</v>
      </c>
      <c r="R42" s="42">
        <f t="shared" si="23"/>
        <v>2.4776550689602916</v>
      </c>
      <c r="S42" s="42">
        <f t="shared" si="23"/>
        <v>1.816822198875224</v>
      </c>
      <c r="T42" s="42">
        <f t="shared" si="23"/>
        <v>1.5870437775426156</v>
      </c>
      <c r="U42" s="43">
        <f t="shared" si="23"/>
        <v>7.6252570761378102</v>
      </c>
      <c r="V42" s="9"/>
      <c r="W42" s="9"/>
    </row>
    <row r="43" spans="1:23" x14ac:dyDescent="0.2">
      <c r="A43" s="20" t="s">
        <v>41</v>
      </c>
      <c r="B43" s="41">
        <f t="shared" si="23"/>
        <v>4.1904814155154088E-3</v>
      </c>
      <c r="C43" s="42">
        <f t="shared" si="23"/>
        <v>25.14111489759345</v>
      </c>
      <c r="D43" s="42">
        <f t="shared" si="23"/>
        <v>80.306207925783298</v>
      </c>
      <c r="E43" s="43">
        <f t="shared" si="23"/>
        <v>102.19807180095961</v>
      </c>
      <c r="F43" s="42">
        <f t="shared" si="23"/>
        <v>1.2239078904556329</v>
      </c>
      <c r="G43" s="42">
        <f t="shared" si="23"/>
        <v>11.19751400884158</v>
      </c>
      <c r="H43" s="42">
        <f t="shared" si="23"/>
        <v>49.054044391667823</v>
      </c>
      <c r="I43" s="43">
        <f t="shared" si="23"/>
        <v>63.994753267797499</v>
      </c>
      <c r="J43" s="42">
        <f t="shared" si="23"/>
        <v>4.6973938304436853</v>
      </c>
      <c r="K43" s="42">
        <f t="shared" si="23"/>
        <v>19.300699281346684</v>
      </c>
      <c r="L43" s="42">
        <f t="shared" si="23"/>
        <v>84.670162743316155</v>
      </c>
      <c r="M43" s="43">
        <f t="shared" si="23"/>
        <v>56.53777309461028</v>
      </c>
      <c r="N43" s="41">
        <f t="shared" si="23"/>
        <v>0.75631953047705791</v>
      </c>
      <c r="O43" s="42">
        <f t="shared" si="23"/>
        <v>17.349934256257058</v>
      </c>
      <c r="P43" s="42">
        <f t="shared" si="23"/>
        <v>76.244349375131648</v>
      </c>
      <c r="Q43" s="43">
        <f t="shared" si="23"/>
        <v>92.520612829815803</v>
      </c>
      <c r="R43" s="42">
        <f t="shared" si="23"/>
        <v>4.9304221917844372E-2</v>
      </c>
      <c r="S43" s="42">
        <f t="shared" si="23"/>
        <v>4.5930959568783081</v>
      </c>
      <c r="T43" s="42">
        <f t="shared" si="23"/>
        <v>12.304122011486866</v>
      </c>
      <c r="U43" s="43">
        <f t="shared" si="23"/>
        <v>16.916051795336994</v>
      </c>
      <c r="V43" s="9"/>
      <c r="W43" s="9"/>
    </row>
    <row r="44" spans="1:23" x14ac:dyDescent="0.2">
      <c r="A44" s="20" t="s">
        <v>42</v>
      </c>
      <c r="B44" s="41">
        <f t="shared" si="23"/>
        <v>15.641438871287038</v>
      </c>
      <c r="C44" s="42">
        <f t="shared" si="23"/>
        <v>8.1860970014096512</v>
      </c>
      <c r="D44" s="42">
        <f t="shared" si="23"/>
        <v>7.770845346241952</v>
      </c>
      <c r="E44" s="43">
        <f t="shared" si="23"/>
        <v>9.2472866977613855</v>
      </c>
      <c r="F44" s="42">
        <f t="shared" si="23"/>
        <v>10.938249255207628</v>
      </c>
      <c r="G44" s="42">
        <f t="shared" si="23"/>
        <v>45.564121175345889</v>
      </c>
      <c r="H44" s="42">
        <f t="shared" si="23"/>
        <v>61.607766648263699</v>
      </c>
      <c r="I44" s="43">
        <f t="shared" si="23"/>
        <v>70.911725749496654</v>
      </c>
      <c r="J44" s="42">
        <f t="shared" si="23"/>
        <v>9.4237708704338399</v>
      </c>
      <c r="K44" s="42">
        <f t="shared" si="23"/>
        <v>30.543468974223522</v>
      </c>
      <c r="L44" s="42">
        <f t="shared" si="23"/>
        <v>47.703623649290563</v>
      </c>
      <c r="M44" s="43">
        <f t="shared" si="23"/>
        <v>25.506834522881487</v>
      </c>
      <c r="N44" s="41">
        <f t="shared" si="23"/>
        <v>10.965707909409632</v>
      </c>
      <c r="O44" s="42">
        <f t="shared" si="23"/>
        <v>28.927595993454702</v>
      </c>
      <c r="P44" s="42">
        <f t="shared" si="23"/>
        <v>33.324830313634926</v>
      </c>
      <c r="Q44" s="43">
        <f t="shared" si="23"/>
        <v>30.167306250681261</v>
      </c>
      <c r="R44" s="42">
        <f t="shared" si="23"/>
        <v>9.5261338310096448</v>
      </c>
      <c r="S44" s="42">
        <f t="shared" si="23"/>
        <v>36.354961953910035</v>
      </c>
      <c r="T44" s="42">
        <f t="shared" si="23"/>
        <v>48.122383687920788</v>
      </c>
      <c r="U44" s="43">
        <f t="shared" si="23"/>
        <v>52.565461124627362</v>
      </c>
      <c r="V44" s="9"/>
      <c r="W44" s="9"/>
    </row>
    <row r="45" spans="1:23" x14ac:dyDescent="0.2">
      <c r="A45" s="20" t="s">
        <v>43</v>
      </c>
      <c r="B45" s="41">
        <f t="shared" si="23"/>
        <v>1.029815053207227</v>
      </c>
      <c r="C45" s="42">
        <f t="shared" si="23"/>
        <v>0.73728449943960195</v>
      </c>
      <c r="D45" s="42">
        <f t="shared" si="23"/>
        <v>2.9112879328636874</v>
      </c>
      <c r="E45" s="43">
        <f t="shared" si="23"/>
        <v>3.3196908002968137</v>
      </c>
      <c r="F45" s="42">
        <f t="shared" si="23"/>
        <v>1.2719376370637769</v>
      </c>
      <c r="G45" s="42">
        <f t="shared" si="23"/>
        <v>2.3036637497074879</v>
      </c>
      <c r="H45" s="42">
        <f t="shared" si="23"/>
        <v>2.7645664637232374</v>
      </c>
      <c r="I45" s="43">
        <f t="shared" si="23"/>
        <v>2.9645039841171998</v>
      </c>
      <c r="J45" s="42">
        <f t="shared" si="23"/>
        <v>2.9011398469400564</v>
      </c>
      <c r="K45" s="42">
        <f t="shared" si="23"/>
        <v>1.3328545337535809</v>
      </c>
      <c r="L45" s="42">
        <f t="shared" si="23"/>
        <v>4.8439350865734063</v>
      </c>
      <c r="M45" s="43">
        <f t="shared" si="23"/>
        <v>2.8400397342600789</v>
      </c>
      <c r="N45" s="41">
        <f t="shared" si="23"/>
        <v>1.3921849966262783</v>
      </c>
      <c r="O45" s="42">
        <f t="shared" si="23"/>
        <v>0.64870730077815453</v>
      </c>
      <c r="P45" s="42">
        <f t="shared" si="23"/>
        <v>5.4720207495296815</v>
      </c>
      <c r="Q45" s="43">
        <f t="shared" si="23"/>
        <v>2.883290477590096</v>
      </c>
      <c r="R45" s="42">
        <f t="shared" si="23"/>
        <v>1.6447837485573671</v>
      </c>
      <c r="S45" s="42">
        <f t="shared" si="23"/>
        <v>0.88780012409922349</v>
      </c>
      <c r="T45" s="42">
        <f t="shared" si="23"/>
        <v>5.3073212712248523</v>
      </c>
      <c r="U45" s="43">
        <f t="shared" si="23"/>
        <v>3.357071183779941</v>
      </c>
      <c r="V45" s="9"/>
      <c r="W45" s="9"/>
    </row>
    <row r="46" spans="1:23" x14ac:dyDescent="0.2">
      <c r="A46" s="20" t="s">
        <v>44</v>
      </c>
      <c r="B46" s="41">
        <f t="shared" si="23"/>
        <v>2.2261279390028927</v>
      </c>
      <c r="C46" s="42">
        <f t="shared" si="23"/>
        <v>3.1743200279262949</v>
      </c>
      <c r="D46" s="42">
        <f t="shared" si="23"/>
        <v>5.3484765618785826</v>
      </c>
      <c r="E46" s="43">
        <f t="shared" si="23"/>
        <v>14.964909188327136</v>
      </c>
      <c r="F46" s="42">
        <f t="shared" si="23"/>
        <v>1.593062662969559</v>
      </c>
      <c r="G46" s="42">
        <f t="shared" si="23"/>
        <v>0.62591098285923674</v>
      </c>
      <c r="H46" s="42">
        <f t="shared" si="23"/>
        <v>8.128413001929033</v>
      </c>
      <c r="I46" s="43">
        <f t="shared" si="23"/>
        <v>9.492218739162622</v>
      </c>
      <c r="J46" s="42">
        <f t="shared" si="23"/>
        <v>2.9673821040062487</v>
      </c>
      <c r="K46" s="42">
        <f t="shared" si="23"/>
        <v>6.6067296371313242</v>
      </c>
      <c r="L46" s="42">
        <f t="shared" si="23"/>
        <v>9.7431000054228143</v>
      </c>
      <c r="M46" s="43">
        <f t="shared" si="23"/>
        <v>1.3966777779755064</v>
      </c>
      <c r="N46" s="41">
        <f t="shared" si="23"/>
        <v>1.0956351407749827</v>
      </c>
      <c r="O46" s="42">
        <f t="shared" si="23"/>
        <v>2.7023503849562114</v>
      </c>
      <c r="P46" s="42">
        <f t="shared" si="23"/>
        <v>1.8933973592932674</v>
      </c>
      <c r="Q46" s="43">
        <f t="shared" si="23"/>
        <v>4.9478620471291483</v>
      </c>
      <c r="R46" s="42">
        <f t="shared" si="23"/>
        <v>0.93193407107380477</v>
      </c>
      <c r="S46" s="42">
        <f t="shared" si="23"/>
        <v>4.9823370030554122</v>
      </c>
      <c r="T46" s="42">
        <f t="shared" si="23"/>
        <v>6.8877231060738282</v>
      </c>
      <c r="U46" s="43">
        <f t="shared" si="23"/>
        <v>1.6206487841084465</v>
      </c>
      <c r="V46" s="9"/>
      <c r="W46" s="9"/>
    </row>
    <row r="47" spans="1:23" x14ac:dyDescent="0.2">
      <c r="A47" s="20" t="s">
        <v>45</v>
      </c>
      <c r="B47" s="41">
        <f t="shared" si="23"/>
        <v>3.2286028993842844</v>
      </c>
      <c r="C47" s="42">
        <f t="shared" si="23"/>
        <v>5.2111637299345759</v>
      </c>
      <c r="D47" s="42">
        <f t="shared" si="23"/>
        <v>8.0059877478603951</v>
      </c>
      <c r="E47" s="43">
        <f t="shared" si="23"/>
        <v>6.9606332015475756</v>
      </c>
      <c r="F47" s="42">
        <f t="shared" si="23"/>
        <v>3.9034958838802387</v>
      </c>
      <c r="G47" s="42">
        <f t="shared" si="23"/>
        <v>6.1288509575353878</v>
      </c>
      <c r="H47" s="42">
        <f t="shared" si="23"/>
        <v>10.717362054763585</v>
      </c>
      <c r="I47" s="43">
        <f t="shared" si="23"/>
        <v>14.667132234857092</v>
      </c>
      <c r="J47" s="42">
        <f t="shared" si="23"/>
        <v>3.2186248380198634</v>
      </c>
      <c r="K47" s="42">
        <f t="shared" si="23"/>
        <v>7.3099587298616617</v>
      </c>
      <c r="L47" s="42">
        <f t="shared" si="23"/>
        <v>14.266358296814607</v>
      </c>
      <c r="M47" s="43">
        <f t="shared" si="23"/>
        <v>10.245423122205329</v>
      </c>
      <c r="N47" s="41">
        <f t="shared" si="23"/>
        <v>4.1134722986227716</v>
      </c>
      <c r="O47" s="42">
        <f t="shared" si="23"/>
        <v>5.7197347551446454</v>
      </c>
      <c r="P47" s="42">
        <f t="shared" si="23"/>
        <v>10.773658568639217</v>
      </c>
      <c r="Q47" s="43">
        <f t="shared" si="23"/>
        <v>15.161091148819246</v>
      </c>
      <c r="R47" s="42">
        <f t="shared" si="23"/>
        <v>2.5053126797362757</v>
      </c>
      <c r="S47" s="42">
        <f t="shared" si="23"/>
        <v>4.8125755263314645</v>
      </c>
      <c r="T47" s="42">
        <f t="shared" si="23"/>
        <v>6.067293092329586</v>
      </c>
      <c r="U47" s="43">
        <f t="shared" si="23"/>
        <v>7.5846896375985438</v>
      </c>
      <c r="V47" s="9"/>
      <c r="W47" s="9"/>
    </row>
    <row r="48" spans="1:23" x14ac:dyDescent="0.2">
      <c r="A48" s="20" t="s">
        <v>47</v>
      </c>
      <c r="B48" s="41">
        <f t="shared" ref="B48:U50" si="24">(B34-$E60)/$C60</f>
        <v>42.005299522104856</v>
      </c>
      <c r="C48" s="42">
        <f t="shared" si="24"/>
        <v>53.014407628472625</v>
      </c>
      <c r="D48" s="42">
        <f t="shared" si="24"/>
        <v>56.759456777635222</v>
      </c>
      <c r="E48" s="43">
        <f t="shared" si="24"/>
        <v>54.392932257279256</v>
      </c>
      <c r="F48" s="42">
        <f t="shared" si="24"/>
        <v>45.215129638904706</v>
      </c>
      <c r="G48" s="42">
        <f t="shared" si="24"/>
        <v>58.221325733457419</v>
      </c>
      <c r="H48" s="42">
        <f t="shared" si="24"/>
        <v>55.188311058201222</v>
      </c>
      <c r="I48" s="43">
        <f t="shared" si="24"/>
        <v>55.867069893789164</v>
      </c>
      <c r="J48" s="42">
        <f t="shared" si="24"/>
        <v>43.807925505607145</v>
      </c>
      <c r="K48" s="42">
        <f t="shared" si="24"/>
        <v>52.558096077520169</v>
      </c>
      <c r="L48" s="42">
        <f t="shared" si="24"/>
        <v>80.457486863395047</v>
      </c>
      <c r="M48" s="43">
        <f t="shared" si="24"/>
        <v>44.571940563737854</v>
      </c>
      <c r="N48" s="41">
        <f t="shared" si="24"/>
        <v>45.5346534579229</v>
      </c>
      <c r="O48" s="42">
        <f t="shared" si="24"/>
        <v>47.58748496501056</v>
      </c>
      <c r="P48" s="42">
        <f t="shared" si="24"/>
        <v>57.532392164008471</v>
      </c>
      <c r="Q48" s="43">
        <f t="shared" si="24"/>
        <v>57.500492754242025</v>
      </c>
      <c r="R48" s="42">
        <f t="shared" si="24"/>
        <v>38.871531658855069</v>
      </c>
      <c r="S48" s="42">
        <f t="shared" si="24"/>
        <v>49.410610326716174</v>
      </c>
      <c r="T48" s="42">
        <f t="shared" si="24"/>
        <v>59.184189678405559</v>
      </c>
      <c r="U48" s="43">
        <f t="shared" si="24"/>
        <v>62.620121835640504</v>
      </c>
      <c r="V48" s="9"/>
      <c r="W48" s="9"/>
    </row>
    <row r="49" spans="1:23" x14ac:dyDescent="0.2">
      <c r="A49" s="20" t="s">
        <v>48</v>
      </c>
      <c r="B49" s="41">
        <f t="shared" si="24"/>
        <v>1.8002800053056867</v>
      </c>
      <c r="C49" s="42">
        <f t="shared" si="24"/>
        <v>3.5703740965757729</v>
      </c>
      <c r="D49" s="42">
        <f t="shared" si="24"/>
        <v>5.3731557564383197</v>
      </c>
      <c r="E49" s="43">
        <f t="shared" si="24"/>
        <v>11.69566861618744</v>
      </c>
      <c r="F49" s="42">
        <f t="shared" si="24"/>
        <v>1.6631480874533275</v>
      </c>
      <c r="G49" s="42">
        <f t="shared" si="24"/>
        <v>2.4612821316848064</v>
      </c>
      <c r="H49" s="42">
        <f t="shared" si="24"/>
        <v>13.268457508106518</v>
      </c>
      <c r="I49" s="43">
        <f t="shared" si="24"/>
        <v>16.439454349838723</v>
      </c>
      <c r="J49" s="42">
        <f t="shared" si="24"/>
        <v>1.345649745297675</v>
      </c>
      <c r="K49" s="42">
        <f t="shared" si="24"/>
        <v>2.8621931048252645</v>
      </c>
      <c r="L49" s="42">
        <f t="shared" si="24"/>
        <v>4.2866487763676959</v>
      </c>
      <c r="M49" s="43">
        <f t="shared" si="24"/>
        <v>1.5326627898419014</v>
      </c>
      <c r="N49" s="41">
        <f t="shared" si="24"/>
        <v>1.3197009495056609</v>
      </c>
      <c r="O49" s="42">
        <f t="shared" si="24"/>
        <v>2.6843983538451397</v>
      </c>
      <c r="P49" s="42">
        <f t="shared" si="24"/>
        <v>3.9690378869159568</v>
      </c>
      <c r="Q49" s="43">
        <f t="shared" si="24"/>
        <v>3.5928412154468496</v>
      </c>
      <c r="R49" s="42">
        <f t="shared" si="24"/>
        <v>1.1070937176129925</v>
      </c>
      <c r="S49" s="42">
        <f t="shared" si="24"/>
        <v>2.1685820210823596</v>
      </c>
      <c r="T49" s="42">
        <f t="shared" si="24"/>
        <v>3.9874960665709889</v>
      </c>
      <c r="U49" s="43">
        <f t="shared" si="24"/>
        <v>3.9165629912529321</v>
      </c>
      <c r="V49" s="9"/>
      <c r="W49" s="9"/>
    </row>
    <row r="50" spans="1:23" x14ac:dyDescent="0.2">
      <c r="A50" s="26" t="s">
        <v>49</v>
      </c>
      <c r="B50" s="44">
        <f t="shared" si="24"/>
        <v>1.9948352055301815</v>
      </c>
      <c r="C50" s="45">
        <f t="shared" si="24"/>
        <v>6.4378773651798173</v>
      </c>
      <c r="D50" s="45">
        <f t="shared" si="24"/>
        <v>9.4298150085383625</v>
      </c>
      <c r="E50" s="46">
        <f t="shared" si="24"/>
        <v>8.9760303371614594</v>
      </c>
      <c r="F50" s="45">
        <f t="shared" si="24"/>
        <v>1.8360482897936501</v>
      </c>
      <c r="G50" s="45">
        <f t="shared" si="24"/>
        <v>8.3882840280158693</v>
      </c>
      <c r="H50" s="45">
        <f t="shared" si="24"/>
        <v>8.2717814808040036</v>
      </c>
      <c r="I50" s="46">
        <f t="shared" si="24"/>
        <v>8.6052530713129922</v>
      </c>
      <c r="J50" s="45">
        <f t="shared" si="24"/>
        <v>1.902821792738598</v>
      </c>
      <c r="K50" s="45">
        <f t="shared" si="24"/>
        <v>6.8006644629220805</v>
      </c>
      <c r="L50" s="45">
        <f t="shared" si="24"/>
        <v>9.8378942928460056</v>
      </c>
      <c r="M50" s="46">
        <f t="shared" si="24"/>
        <v>4.7895194115608568</v>
      </c>
      <c r="N50" s="44">
        <f t="shared" si="24"/>
        <v>1.8642347459992086</v>
      </c>
      <c r="O50" s="45">
        <f t="shared" si="24"/>
        <v>7.1601950004605497</v>
      </c>
      <c r="P50" s="45">
        <f t="shared" si="24"/>
        <v>9.9172029367155439</v>
      </c>
      <c r="Q50" s="46">
        <f t="shared" si="24"/>
        <v>9.1533893475709842</v>
      </c>
      <c r="R50" s="45">
        <f t="shared" si="24"/>
        <v>1.582816378700141</v>
      </c>
      <c r="S50" s="45">
        <f t="shared" si="24"/>
        <v>8.6807912119534762</v>
      </c>
      <c r="T50" s="45">
        <f t="shared" si="24"/>
        <v>12.757783135467191</v>
      </c>
      <c r="U50" s="46">
        <f t="shared" si="24"/>
        <v>13.476534279458518</v>
      </c>
      <c r="V50" s="9"/>
      <c r="W50" s="9"/>
    </row>
    <row r="51" spans="1:23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 spans="1:23" x14ac:dyDescent="0.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 spans="1:23" x14ac:dyDescent="0.2">
      <c r="A53" s="15" t="s">
        <v>39</v>
      </c>
      <c r="B53" s="47" t="s">
        <v>52</v>
      </c>
      <c r="C53" s="48">
        <v>3.5999999999999999E-3</v>
      </c>
      <c r="D53" s="49" t="s">
        <v>53</v>
      </c>
      <c r="E53" s="48">
        <v>1.2999999999999999E-3</v>
      </c>
      <c r="F53" s="50"/>
      <c r="G53" s="50"/>
      <c r="H53" s="51"/>
      <c r="I53" s="51"/>
      <c r="J53" s="51"/>
      <c r="K53" s="50"/>
      <c r="L53" s="50"/>
      <c r="M53" s="50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 spans="1:23" x14ac:dyDescent="0.2">
      <c r="A54" s="20" t="s">
        <v>40</v>
      </c>
      <c r="B54" s="52" t="s">
        <v>52</v>
      </c>
      <c r="C54" s="53">
        <v>4.7999999999999996E-3</v>
      </c>
      <c r="D54" s="54" t="s">
        <v>53</v>
      </c>
      <c r="E54" s="53">
        <v>1.6000000000000001E-3</v>
      </c>
      <c r="F54" s="50"/>
      <c r="G54" s="50"/>
      <c r="H54" s="51"/>
      <c r="I54" s="51"/>
      <c r="J54" s="51"/>
      <c r="K54" s="50"/>
      <c r="L54" s="50"/>
      <c r="M54" s="50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 spans="1:23" x14ac:dyDescent="0.2">
      <c r="A55" s="20" t="s">
        <v>41</v>
      </c>
      <c r="B55" s="52" t="s">
        <v>52</v>
      </c>
      <c r="C55" s="53">
        <v>2.7000000000000001E-3</v>
      </c>
      <c r="D55" s="54" t="s">
        <v>53</v>
      </c>
      <c r="E55" s="53">
        <v>1.1999999999999999E-3</v>
      </c>
      <c r="F55" s="50"/>
      <c r="G55" s="50"/>
      <c r="H55" s="51"/>
      <c r="I55" s="51"/>
      <c r="J55" s="51"/>
      <c r="K55" s="50"/>
      <c r="L55" s="50"/>
      <c r="M55" s="50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 spans="1:23" x14ac:dyDescent="0.2">
      <c r="A56" s="20" t="s">
        <v>42</v>
      </c>
      <c r="B56" s="52" t="s">
        <v>52</v>
      </c>
      <c r="C56" s="53">
        <v>2.7000000000000001E-3</v>
      </c>
      <c r="D56" s="54" t="s">
        <v>53</v>
      </c>
      <c r="E56" s="53">
        <v>-5.0000000000000001E-4</v>
      </c>
      <c r="F56" s="50"/>
      <c r="G56" s="50"/>
      <c r="H56" s="51"/>
      <c r="I56" s="51"/>
      <c r="J56" s="51"/>
      <c r="K56" s="50"/>
      <c r="L56" s="50"/>
      <c r="M56" s="50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 spans="1:23" x14ac:dyDescent="0.2">
      <c r="A57" s="20" t="s">
        <v>43</v>
      </c>
      <c r="B57" s="52" t="s">
        <v>52</v>
      </c>
      <c r="C57" s="53">
        <v>3.5999999999999999E-3</v>
      </c>
      <c r="D57" s="54" t="s">
        <v>53</v>
      </c>
      <c r="E57" s="53">
        <v>2.5999999999999999E-3</v>
      </c>
      <c r="F57" s="50"/>
      <c r="G57" s="50"/>
      <c r="H57" s="51"/>
      <c r="I57" s="51"/>
      <c r="J57" s="51"/>
      <c r="K57" s="50"/>
      <c r="L57" s="50"/>
      <c r="M57" s="50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 spans="1:23" x14ac:dyDescent="0.2">
      <c r="A58" s="20" t="s">
        <v>44</v>
      </c>
      <c r="B58" s="52" t="s">
        <v>52</v>
      </c>
      <c r="C58" s="53">
        <v>2.7000000000000001E-3</v>
      </c>
      <c r="D58" s="54" t="s">
        <v>53</v>
      </c>
      <c r="E58" s="53">
        <v>0</v>
      </c>
      <c r="F58" s="50"/>
      <c r="G58" s="50"/>
      <c r="H58" s="51"/>
      <c r="I58" s="51"/>
      <c r="J58" s="51"/>
      <c r="K58" s="50"/>
      <c r="L58" s="50"/>
      <c r="M58" s="50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 spans="1:23" x14ac:dyDescent="0.2">
      <c r="A59" s="20" t="s">
        <v>45</v>
      </c>
      <c r="B59" s="52" t="s">
        <v>52</v>
      </c>
      <c r="C59" s="53">
        <v>2.5999999999999999E-3</v>
      </c>
      <c r="D59" s="54" t="s">
        <v>53</v>
      </c>
      <c r="E59" s="53">
        <v>-4.1999999999999997E-3</v>
      </c>
      <c r="F59" s="50"/>
      <c r="G59" s="50"/>
      <c r="H59" s="51"/>
      <c r="I59" s="51"/>
      <c r="J59" s="51"/>
      <c r="K59" s="50"/>
      <c r="L59" s="50"/>
      <c r="M59" s="50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 spans="1:23" x14ac:dyDescent="0.2">
      <c r="A60" s="20" t="s">
        <v>47</v>
      </c>
      <c r="B60" s="52" t="s">
        <v>52</v>
      </c>
      <c r="C60" s="53">
        <v>2.5000000000000001E-3</v>
      </c>
      <c r="D60" s="54" t="s">
        <v>53</v>
      </c>
      <c r="E60" s="53">
        <v>-8.9999999999999998E-4</v>
      </c>
      <c r="F60" s="50"/>
      <c r="G60" s="50"/>
      <c r="H60" s="51"/>
      <c r="I60" s="51"/>
      <c r="J60" s="51"/>
      <c r="K60" s="50"/>
      <c r="L60" s="50"/>
      <c r="M60" s="50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 spans="1:23" x14ac:dyDescent="0.2">
      <c r="A61" s="20" t="s">
        <v>48</v>
      </c>
      <c r="B61" s="52" t="s">
        <v>52</v>
      </c>
      <c r="C61" s="53">
        <v>2.3E-3</v>
      </c>
      <c r="D61" s="54" t="s">
        <v>53</v>
      </c>
      <c r="E61" s="53">
        <v>-5.0000000000000001E-4</v>
      </c>
      <c r="F61" s="50"/>
      <c r="G61" s="50"/>
      <c r="H61" s="51"/>
      <c r="I61" s="51"/>
      <c r="J61" s="51"/>
      <c r="K61" s="50"/>
      <c r="L61" s="50"/>
      <c r="M61" s="50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 spans="1:23" x14ac:dyDescent="0.2">
      <c r="A62" s="26" t="s">
        <v>49</v>
      </c>
      <c r="B62" s="55" t="s">
        <v>52</v>
      </c>
      <c r="C62" s="56">
        <v>2.5000000000000001E-3</v>
      </c>
      <c r="D62" s="57" t="s">
        <v>53</v>
      </c>
      <c r="E62" s="56">
        <v>-4.0000000000000002E-4</v>
      </c>
      <c r="F62" s="58"/>
      <c r="G62" s="50"/>
      <c r="H62" s="51"/>
      <c r="I62" s="51"/>
      <c r="J62" s="51"/>
      <c r="K62" s="50"/>
      <c r="L62" s="50"/>
      <c r="M62" s="50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 spans="1:23" x14ac:dyDescent="0.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 spans="1:23" hidden="1" x14ac:dyDescent="0.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 spans="1:23" hidden="1" x14ac:dyDescent="0.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 spans="1:23" hidden="1" x14ac:dyDescent="0.2">
      <c r="A66" s="9"/>
      <c r="B66" s="7" t="s">
        <v>13</v>
      </c>
      <c r="C66" s="7">
        <v>2.5100000000000001E-2</v>
      </c>
      <c r="D66" s="12" t="s">
        <v>14</v>
      </c>
      <c r="E66" s="21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 spans="1:23" hidden="1" x14ac:dyDescent="0.2">
      <c r="A67" s="9"/>
      <c r="B67" s="7" t="s">
        <v>15</v>
      </c>
      <c r="C67" s="7">
        <v>1.1662213962132653</v>
      </c>
      <c r="D67" s="12" t="s">
        <v>16</v>
      </c>
      <c r="E67" s="21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 spans="1:23" hidden="1" x14ac:dyDescent="0.2">
      <c r="A68" s="9"/>
      <c r="B68" s="7" t="s">
        <v>17</v>
      </c>
      <c r="C68" s="7">
        <v>0.23324427924265306</v>
      </c>
      <c r="D68" s="12" t="s">
        <v>16</v>
      </c>
      <c r="E68" s="21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 spans="1:23" hidden="1" x14ac:dyDescent="0.2">
      <c r="A69" s="9"/>
      <c r="B69" s="7" t="s">
        <v>17</v>
      </c>
      <c r="C69" s="7">
        <v>20.080000000000002</v>
      </c>
      <c r="D69" s="12" t="s">
        <v>18</v>
      </c>
      <c r="E69" s="12">
        <f>C69/1000</f>
        <v>2.0080000000000001E-2</v>
      </c>
      <c r="F69" s="12" t="s">
        <v>54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 spans="1:23" hidden="1" x14ac:dyDescent="0.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 spans="1:23" x14ac:dyDescent="0.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 spans="1:23" ht="16" x14ac:dyDescent="0.2">
      <c r="A72" s="9"/>
      <c r="B72" s="124" t="s">
        <v>55</v>
      </c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6"/>
      <c r="V72" s="9"/>
      <c r="W72" s="9"/>
    </row>
    <row r="73" spans="1:23" ht="16" x14ac:dyDescent="0.2">
      <c r="A73" s="9"/>
      <c r="B73" s="13" t="str">
        <f t="shared" ref="B73:U73" si="25">B10</f>
        <v>A_0h</v>
      </c>
      <c r="C73" s="13" t="str">
        <f t="shared" si="25"/>
        <v>A_12h</v>
      </c>
      <c r="D73" s="13" t="str">
        <f t="shared" si="25"/>
        <v>A_24h</v>
      </c>
      <c r="E73" s="13" t="str">
        <f t="shared" si="25"/>
        <v>A_48h</v>
      </c>
      <c r="F73" s="13" t="str">
        <f t="shared" si="25"/>
        <v>B_0h</v>
      </c>
      <c r="G73" s="30" t="str">
        <f t="shared" si="25"/>
        <v>B_12h</v>
      </c>
      <c r="H73" s="14" t="str">
        <f t="shared" si="25"/>
        <v>B_24h</v>
      </c>
      <c r="I73" s="13" t="str">
        <f t="shared" si="25"/>
        <v>B_48h</v>
      </c>
      <c r="J73" s="13" t="str">
        <f t="shared" si="25"/>
        <v>C_0h</v>
      </c>
      <c r="K73" s="13" t="str">
        <f t="shared" si="25"/>
        <v>C_12h</v>
      </c>
      <c r="L73" s="13" t="str">
        <f t="shared" si="25"/>
        <v>C_24h</v>
      </c>
      <c r="M73" s="13" t="str">
        <f t="shared" si="25"/>
        <v>C_48h</v>
      </c>
      <c r="N73" s="13" t="str">
        <f t="shared" si="25"/>
        <v>D_0h</v>
      </c>
      <c r="O73" s="13" t="str">
        <f t="shared" si="25"/>
        <v>D_12h</v>
      </c>
      <c r="P73" s="13" t="str">
        <f t="shared" si="25"/>
        <v>D_24h</v>
      </c>
      <c r="Q73" s="13" t="str">
        <f t="shared" si="25"/>
        <v>D_48h</v>
      </c>
      <c r="R73" s="13" t="str">
        <f t="shared" si="25"/>
        <v>E_0h</v>
      </c>
      <c r="S73" s="30" t="str">
        <f t="shared" si="25"/>
        <v>E_12h</v>
      </c>
      <c r="T73" s="14" t="str">
        <f t="shared" si="25"/>
        <v>E_24h</v>
      </c>
      <c r="U73" s="13" t="str">
        <f t="shared" si="25"/>
        <v>E_48h</v>
      </c>
      <c r="V73" s="9"/>
      <c r="W73" s="9"/>
    </row>
    <row r="74" spans="1:23" x14ac:dyDescent="0.2">
      <c r="A74" s="15" t="s">
        <v>39</v>
      </c>
      <c r="B74" s="59">
        <f>B41*$E$69</f>
        <v>8.4013478994362858E-2</v>
      </c>
      <c r="C74" s="31">
        <f t="shared" ref="C74:U74" si="26">C41*$E$69</f>
        <v>0.33838803596753286</v>
      </c>
      <c r="D74" s="31">
        <f t="shared" si="26"/>
        <v>1.854159156090651</v>
      </c>
      <c r="E74" s="60">
        <f t="shared" si="26"/>
        <v>3.6377145113549716</v>
      </c>
      <c r="F74" s="31">
        <f t="shared" si="26"/>
        <v>8.904081881983332E-2</v>
      </c>
      <c r="G74" s="19">
        <f t="shared" si="26"/>
        <v>0.58133214501259844</v>
      </c>
      <c r="H74" s="19">
        <f t="shared" si="26"/>
        <v>3.0391291924144275</v>
      </c>
      <c r="I74" s="60">
        <f t="shared" si="26"/>
        <v>5.1688717115208078</v>
      </c>
      <c r="J74" s="59">
        <f t="shared" si="26"/>
        <v>6.7377809208633163E-2</v>
      </c>
      <c r="K74" s="31">
        <f t="shared" si="26"/>
        <v>1.0666361886977376</v>
      </c>
      <c r="L74" s="31">
        <f t="shared" si="26"/>
        <v>4.1468313913094175</v>
      </c>
      <c r="M74" s="60">
        <f t="shared" si="26"/>
        <v>2.9895399731351588</v>
      </c>
      <c r="N74" s="59">
        <f t="shared" si="26"/>
        <v>8.06219229540103E-2</v>
      </c>
      <c r="O74" s="31">
        <f t="shared" si="26"/>
        <v>0.3904286124745277</v>
      </c>
      <c r="P74" s="31">
        <f t="shared" si="26"/>
        <v>3.2194574116061205</v>
      </c>
      <c r="Q74" s="60">
        <f t="shared" si="26"/>
        <v>4.8839762702796445</v>
      </c>
      <c r="R74" s="31">
        <f t="shared" si="26"/>
        <v>6.6645879320255813E-2</v>
      </c>
      <c r="S74" s="31">
        <f t="shared" si="26"/>
        <v>1.6121077554875809</v>
      </c>
      <c r="T74" s="31">
        <f t="shared" si="26"/>
        <v>4.2642333016492078</v>
      </c>
      <c r="U74" s="60">
        <f t="shared" si="26"/>
        <v>6.7372404223709372</v>
      </c>
      <c r="V74" s="9"/>
      <c r="W74" s="9"/>
    </row>
    <row r="75" spans="1:23" x14ac:dyDescent="0.2">
      <c r="A75" s="20" t="s">
        <v>40</v>
      </c>
      <c r="B75" s="34">
        <f t="shared" ref="B75:U83" si="27">B42*$E$69</f>
        <v>7.2765434249739899E-2</v>
      </c>
      <c r="C75" s="33">
        <f t="shared" si="27"/>
        <v>1.5908016413447368E-3</v>
      </c>
      <c r="D75" s="33">
        <f t="shared" si="27"/>
        <v>4.0426132616253482E-2</v>
      </c>
      <c r="E75" s="32">
        <f t="shared" si="27"/>
        <v>7.8536482029743115E-2</v>
      </c>
      <c r="F75" s="33">
        <f t="shared" si="27"/>
        <v>6.119572468505486E-2</v>
      </c>
      <c r="G75" s="9">
        <f t="shared" si="27"/>
        <v>7.193879349928981E-3</v>
      </c>
      <c r="H75" s="9">
        <f t="shared" si="27"/>
        <v>2.9171228665701092E-2</v>
      </c>
      <c r="I75" s="32">
        <f t="shared" si="27"/>
        <v>2.496125094584653E-2</v>
      </c>
      <c r="J75" s="34">
        <f t="shared" si="27"/>
        <v>4.8823900394983771E-2</v>
      </c>
      <c r="K75" s="33">
        <f t="shared" si="27"/>
        <v>4.0702481534330801E-2</v>
      </c>
      <c r="L75" s="33">
        <f t="shared" si="27"/>
        <v>3.4161598111504675E-2</v>
      </c>
      <c r="M75" s="32">
        <f t="shared" si="27"/>
        <v>8.9870885446270324E-2</v>
      </c>
      <c r="N75" s="34">
        <f t="shared" si="27"/>
        <v>5.6842182937900498E-2</v>
      </c>
      <c r="O75" s="33">
        <f t="shared" si="27"/>
        <v>5.4021076971214766E-3</v>
      </c>
      <c r="P75" s="33">
        <f t="shared" si="27"/>
        <v>5.1747407219221303E-2</v>
      </c>
      <c r="Q75" s="32">
        <f t="shared" si="27"/>
        <v>8.3042319922274593E-2</v>
      </c>
      <c r="R75" s="33">
        <f t="shared" si="27"/>
        <v>4.975131378472266E-2</v>
      </c>
      <c r="S75" s="33">
        <f t="shared" si="27"/>
        <v>3.6481789753414498E-2</v>
      </c>
      <c r="T75" s="33">
        <f t="shared" si="27"/>
        <v>3.1867839053055722E-2</v>
      </c>
      <c r="U75" s="32">
        <f t="shared" si="27"/>
        <v>0.15311516208884723</v>
      </c>
      <c r="V75" s="9"/>
      <c r="W75" s="9"/>
    </row>
    <row r="76" spans="1:23" x14ac:dyDescent="0.2">
      <c r="A76" s="20" t="s">
        <v>41</v>
      </c>
      <c r="B76" s="34">
        <f t="shared" si="27"/>
        <v>8.4144866823549408E-5</v>
      </c>
      <c r="C76" s="33">
        <f t="shared" si="27"/>
        <v>0.50483358714367654</v>
      </c>
      <c r="D76" s="33">
        <f t="shared" si="27"/>
        <v>1.6125486551497286</v>
      </c>
      <c r="E76" s="32">
        <f t="shared" si="27"/>
        <v>2.0521372817632688</v>
      </c>
      <c r="F76" s="33">
        <f t="shared" si="27"/>
        <v>2.457607044034911E-2</v>
      </c>
      <c r="G76" s="9">
        <f t="shared" si="27"/>
        <v>0.22484608129753894</v>
      </c>
      <c r="H76" s="9">
        <f t="shared" si="27"/>
        <v>0.98500521138468988</v>
      </c>
      <c r="I76" s="32">
        <f t="shared" si="27"/>
        <v>1.2850146456173739</v>
      </c>
      <c r="J76" s="34">
        <f t="shared" si="27"/>
        <v>9.4323668115309206E-2</v>
      </c>
      <c r="K76" s="33">
        <f t="shared" si="27"/>
        <v>0.38755804156944146</v>
      </c>
      <c r="L76" s="33">
        <f t="shared" si="27"/>
        <v>1.7001768678857885</v>
      </c>
      <c r="M76" s="32">
        <f t="shared" si="27"/>
        <v>1.1352784837397745</v>
      </c>
      <c r="N76" s="34">
        <f t="shared" si="27"/>
        <v>1.5186896171979323E-2</v>
      </c>
      <c r="O76" s="33">
        <f t="shared" si="27"/>
        <v>0.3483866798656417</v>
      </c>
      <c r="P76" s="33">
        <f t="shared" si="27"/>
        <v>1.5309865354526435</v>
      </c>
      <c r="Q76" s="32">
        <f t="shared" si="27"/>
        <v>1.8578139056227014</v>
      </c>
      <c r="R76" s="33">
        <f t="shared" si="27"/>
        <v>9.9002877611031512E-4</v>
      </c>
      <c r="S76" s="33">
        <f t="shared" si="27"/>
        <v>9.2229366814116434E-2</v>
      </c>
      <c r="T76" s="33">
        <f t="shared" si="27"/>
        <v>0.24706676999065627</v>
      </c>
      <c r="U76" s="32">
        <f t="shared" si="27"/>
        <v>0.33967432005036685</v>
      </c>
      <c r="V76" s="9"/>
      <c r="W76" s="9"/>
    </row>
    <row r="77" spans="1:23" x14ac:dyDescent="0.2">
      <c r="A77" s="20" t="s">
        <v>42</v>
      </c>
      <c r="B77" s="34">
        <f t="shared" si="27"/>
        <v>0.31408009253544372</v>
      </c>
      <c r="C77" s="33">
        <f t="shared" si="27"/>
        <v>0.16437682778830581</v>
      </c>
      <c r="D77" s="33">
        <f t="shared" si="27"/>
        <v>0.15603857455253839</v>
      </c>
      <c r="E77" s="32">
        <f t="shared" si="27"/>
        <v>0.18568551689104862</v>
      </c>
      <c r="F77" s="33">
        <f t="shared" si="27"/>
        <v>0.21964004504456919</v>
      </c>
      <c r="G77" s="9">
        <f t="shared" si="27"/>
        <v>0.91492755320094543</v>
      </c>
      <c r="H77" s="9">
        <f t="shared" si="27"/>
        <v>1.237083954297135</v>
      </c>
      <c r="I77" s="32">
        <f t="shared" si="27"/>
        <v>1.4239074530498927</v>
      </c>
      <c r="J77" s="34">
        <f t="shared" si="27"/>
        <v>0.1892293190783115</v>
      </c>
      <c r="K77" s="33">
        <f t="shared" si="27"/>
        <v>0.61331285700240834</v>
      </c>
      <c r="L77" s="33">
        <f t="shared" si="27"/>
        <v>0.95788876287775448</v>
      </c>
      <c r="M77" s="32">
        <f t="shared" si="27"/>
        <v>0.51217723721946029</v>
      </c>
      <c r="N77" s="34">
        <f t="shared" si="27"/>
        <v>0.22019141482094542</v>
      </c>
      <c r="O77" s="33">
        <f t="shared" si="27"/>
        <v>0.58086612754857048</v>
      </c>
      <c r="P77" s="33">
        <f t="shared" si="27"/>
        <v>0.66916259269778933</v>
      </c>
      <c r="Q77" s="32">
        <f t="shared" si="27"/>
        <v>0.60575950951367974</v>
      </c>
      <c r="R77" s="33">
        <f t="shared" si="27"/>
        <v>0.19128476732667368</v>
      </c>
      <c r="S77" s="33">
        <f t="shared" si="27"/>
        <v>0.73000763603451357</v>
      </c>
      <c r="T77" s="33">
        <f t="shared" si="27"/>
        <v>0.96629746445344944</v>
      </c>
      <c r="U77" s="32">
        <f t="shared" si="27"/>
        <v>1.0555144593825174</v>
      </c>
      <c r="V77" s="9"/>
      <c r="W77" s="9"/>
    </row>
    <row r="78" spans="1:23" x14ac:dyDescent="0.2">
      <c r="A78" s="20" t="s">
        <v>43</v>
      </c>
      <c r="B78" s="34">
        <f t="shared" si="27"/>
        <v>2.0678686268401119E-2</v>
      </c>
      <c r="C78" s="33">
        <f t="shared" si="27"/>
        <v>1.4804672748747208E-2</v>
      </c>
      <c r="D78" s="33">
        <f t="shared" si="27"/>
        <v>5.8458661691902843E-2</v>
      </c>
      <c r="E78" s="32">
        <f t="shared" si="27"/>
        <v>6.6659391269960025E-2</v>
      </c>
      <c r="F78" s="33">
        <f t="shared" si="27"/>
        <v>2.5540507752240642E-2</v>
      </c>
      <c r="G78" s="9">
        <f t="shared" si="27"/>
        <v>4.6257568094126358E-2</v>
      </c>
      <c r="H78" s="9">
        <f t="shared" si="27"/>
        <v>5.5512494591562607E-2</v>
      </c>
      <c r="I78" s="32">
        <f t="shared" si="27"/>
        <v>5.9527240001073373E-2</v>
      </c>
      <c r="J78" s="34">
        <f t="shared" si="27"/>
        <v>5.8254888126556333E-2</v>
      </c>
      <c r="K78" s="33">
        <f t="shared" si="27"/>
        <v>2.6763719037771905E-2</v>
      </c>
      <c r="L78" s="33">
        <f t="shared" si="27"/>
        <v>9.7266216538393999E-2</v>
      </c>
      <c r="M78" s="32">
        <f t="shared" si="27"/>
        <v>5.7027997863942387E-2</v>
      </c>
      <c r="N78" s="34">
        <f t="shared" si="27"/>
        <v>2.7955074732255669E-2</v>
      </c>
      <c r="O78" s="33">
        <f t="shared" si="27"/>
        <v>1.3026042599625344E-2</v>
      </c>
      <c r="P78" s="33">
        <f t="shared" si="27"/>
        <v>0.10987817665055601</v>
      </c>
      <c r="Q78" s="32">
        <f t="shared" si="27"/>
        <v>5.7896472790009132E-2</v>
      </c>
      <c r="R78" s="33">
        <f t="shared" si="27"/>
        <v>3.3027257671031929E-2</v>
      </c>
      <c r="S78" s="33">
        <f t="shared" si="27"/>
        <v>1.7827026491912409E-2</v>
      </c>
      <c r="T78" s="33">
        <f t="shared" si="27"/>
        <v>0.10657101112619503</v>
      </c>
      <c r="U78" s="32">
        <f t="shared" si="27"/>
        <v>6.740998937030121E-2</v>
      </c>
      <c r="V78" s="9"/>
      <c r="W78" s="9"/>
    </row>
    <row r="79" spans="1:23" x14ac:dyDescent="0.2">
      <c r="A79" s="20" t="s">
        <v>44</v>
      </c>
      <c r="B79" s="34">
        <f t="shared" si="27"/>
        <v>4.470064901517809E-2</v>
      </c>
      <c r="C79" s="33">
        <f t="shared" si="27"/>
        <v>6.3740346160760006E-2</v>
      </c>
      <c r="D79" s="33">
        <f t="shared" si="27"/>
        <v>0.10739740936252194</v>
      </c>
      <c r="E79" s="32">
        <f t="shared" si="27"/>
        <v>0.3004953765016089</v>
      </c>
      <c r="F79" s="33">
        <f t="shared" si="27"/>
        <v>3.1988698272428749E-2</v>
      </c>
      <c r="G79" s="9">
        <f t="shared" si="27"/>
        <v>1.2568292535813473E-2</v>
      </c>
      <c r="H79" s="9">
        <f t="shared" si="27"/>
        <v>0.16321853307873499</v>
      </c>
      <c r="I79" s="32">
        <f t="shared" si="27"/>
        <v>0.19060375228238546</v>
      </c>
      <c r="J79" s="34">
        <f t="shared" si="27"/>
        <v>5.9585032648445474E-2</v>
      </c>
      <c r="K79" s="33">
        <f t="shared" si="27"/>
        <v>0.13266313111359698</v>
      </c>
      <c r="L79" s="33">
        <f t="shared" si="27"/>
        <v>0.19564144810889011</v>
      </c>
      <c r="M79" s="32">
        <f t="shared" si="27"/>
        <v>2.8045289781748171E-2</v>
      </c>
      <c r="N79" s="34">
        <f t="shared" si="27"/>
        <v>2.2000353626761653E-2</v>
      </c>
      <c r="O79" s="33">
        <f t="shared" si="27"/>
        <v>5.4263195729920728E-2</v>
      </c>
      <c r="P79" s="33">
        <f t="shared" si="27"/>
        <v>3.801941897460881E-2</v>
      </c>
      <c r="Q79" s="32">
        <f t="shared" si="27"/>
        <v>9.93530699063533E-2</v>
      </c>
      <c r="R79" s="33">
        <f t="shared" si="27"/>
        <v>1.8713236147161999E-2</v>
      </c>
      <c r="S79" s="33">
        <f t="shared" si="27"/>
        <v>0.10004532702135267</v>
      </c>
      <c r="T79" s="33">
        <f t="shared" si="27"/>
        <v>0.13830547996996248</v>
      </c>
      <c r="U79" s="32">
        <f t="shared" si="27"/>
        <v>3.2542627584897607E-2</v>
      </c>
      <c r="V79" s="9"/>
      <c r="W79" s="9"/>
    </row>
    <row r="80" spans="1:23" x14ac:dyDescent="0.2">
      <c r="A80" s="20" t="s">
        <v>45</v>
      </c>
      <c r="B80" s="34">
        <f t="shared" si="27"/>
        <v>6.4830346219636431E-2</v>
      </c>
      <c r="C80" s="33">
        <f t="shared" si="27"/>
        <v>0.10464016769708628</v>
      </c>
      <c r="D80" s="33">
        <f t="shared" si="27"/>
        <v>0.16076023397703673</v>
      </c>
      <c r="E80" s="32">
        <f t="shared" si="27"/>
        <v>0.13976951468707532</v>
      </c>
      <c r="F80" s="33">
        <f t="shared" si="27"/>
        <v>7.8382197348315197E-2</v>
      </c>
      <c r="G80" s="9">
        <f t="shared" si="27"/>
        <v>0.12306732722731059</v>
      </c>
      <c r="H80" s="9">
        <f t="shared" si="27"/>
        <v>0.21520463005965279</v>
      </c>
      <c r="I80" s="32">
        <f t="shared" si="27"/>
        <v>0.29451601527593041</v>
      </c>
      <c r="J80" s="34">
        <f t="shared" si="27"/>
        <v>6.4629986747438861E-2</v>
      </c>
      <c r="K80" s="33">
        <f t="shared" si="27"/>
        <v>0.14678397129562218</v>
      </c>
      <c r="L80" s="33">
        <f t="shared" si="27"/>
        <v>0.28646847460003733</v>
      </c>
      <c r="M80" s="32">
        <f t="shared" si="27"/>
        <v>0.20572809629388303</v>
      </c>
      <c r="N80" s="34">
        <f t="shared" si="27"/>
        <v>8.2598523756345257E-2</v>
      </c>
      <c r="O80" s="33">
        <f t="shared" si="27"/>
        <v>0.11485227388330448</v>
      </c>
      <c r="P80" s="33">
        <f t="shared" si="27"/>
        <v>0.21633506405827549</v>
      </c>
      <c r="Q80" s="32">
        <f t="shared" si="27"/>
        <v>0.30443471026829044</v>
      </c>
      <c r="R80" s="33">
        <f t="shared" si="27"/>
        <v>5.030667860910442E-2</v>
      </c>
      <c r="S80" s="33">
        <f t="shared" si="27"/>
        <v>9.6636516568735814E-2</v>
      </c>
      <c r="T80" s="33">
        <f t="shared" si="27"/>
        <v>0.1218312452939781</v>
      </c>
      <c r="U80" s="32">
        <f t="shared" si="27"/>
        <v>0.15230056792297877</v>
      </c>
      <c r="V80" s="9"/>
      <c r="W80" s="9"/>
    </row>
    <row r="81" spans="1:23" x14ac:dyDescent="0.2">
      <c r="A81" s="20" t="s">
        <v>47</v>
      </c>
      <c r="B81" s="34">
        <f t="shared" si="27"/>
        <v>0.84346641440386549</v>
      </c>
      <c r="C81" s="33">
        <f t="shared" si="27"/>
        <v>1.0645293051797304</v>
      </c>
      <c r="D81" s="33">
        <f t="shared" si="27"/>
        <v>1.1397298920949153</v>
      </c>
      <c r="E81" s="32">
        <f t="shared" si="27"/>
        <v>1.0922100797261676</v>
      </c>
      <c r="F81" s="33">
        <f t="shared" si="27"/>
        <v>0.90791980314920651</v>
      </c>
      <c r="G81" s="9">
        <f t="shared" si="27"/>
        <v>1.1690842207278249</v>
      </c>
      <c r="H81" s="9">
        <f t="shared" si="27"/>
        <v>1.1081812860486806</v>
      </c>
      <c r="I81" s="32">
        <f t="shared" si="27"/>
        <v>1.1218107634672865</v>
      </c>
      <c r="J81" s="34">
        <f t="shared" si="27"/>
        <v>0.8796631441525915</v>
      </c>
      <c r="K81" s="33">
        <f t="shared" si="27"/>
        <v>1.055366569236605</v>
      </c>
      <c r="L81" s="33">
        <f t="shared" si="27"/>
        <v>1.6155863362169727</v>
      </c>
      <c r="M81" s="32">
        <f t="shared" si="27"/>
        <v>0.89500456651985616</v>
      </c>
      <c r="N81" s="34">
        <f t="shared" si="27"/>
        <v>0.91433584143509183</v>
      </c>
      <c r="O81" s="33">
        <f t="shared" si="27"/>
        <v>0.95555669809741206</v>
      </c>
      <c r="P81" s="33">
        <f t="shared" si="27"/>
        <v>1.1552504346532901</v>
      </c>
      <c r="Q81" s="32">
        <f t="shared" si="27"/>
        <v>1.1546098945051799</v>
      </c>
      <c r="R81" s="33">
        <f t="shared" si="27"/>
        <v>0.78054035570980984</v>
      </c>
      <c r="S81" s="33">
        <f t="shared" si="27"/>
        <v>0.99216505536046085</v>
      </c>
      <c r="T81" s="33">
        <f t="shared" si="27"/>
        <v>1.1884185287423836</v>
      </c>
      <c r="U81" s="32">
        <f t="shared" si="27"/>
        <v>1.2574120464596614</v>
      </c>
      <c r="V81" s="9"/>
      <c r="W81" s="9"/>
    </row>
    <row r="82" spans="1:23" x14ac:dyDescent="0.2">
      <c r="A82" s="20" t="s">
        <v>48</v>
      </c>
      <c r="B82" s="34">
        <f t="shared" si="27"/>
        <v>3.6149622506538193E-2</v>
      </c>
      <c r="C82" s="33">
        <f t="shared" si="27"/>
        <v>7.1693111859241515E-2</v>
      </c>
      <c r="D82" s="33">
        <f t="shared" si="27"/>
        <v>0.10789296758928146</v>
      </c>
      <c r="E82" s="32">
        <f t="shared" si="27"/>
        <v>0.23484902581304382</v>
      </c>
      <c r="F82" s="33">
        <f t="shared" si="27"/>
        <v>3.3396013596062819E-2</v>
      </c>
      <c r="G82" s="9">
        <f t="shared" si="27"/>
        <v>4.9422545204230915E-2</v>
      </c>
      <c r="H82" s="9">
        <f t="shared" si="27"/>
        <v>0.2664306267627789</v>
      </c>
      <c r="I82" s="32">
        <f t="shared" si="27"/>
        <v>0.33010424334476157</v>
      </c>
      <c r="J82" s="34">
        <f t="shared" si="27"/>
        <v>2.7020646885577315E-2</v>
      </c>
      <c r="K82" s="33">
        <f t="shared" si="27"/>
        <v>5.7472837544891311E-2</v>
      </c>
      <c r="L82" s="33">
        <f t="shared" si="27"/>
        <v>8.6075907429463333E-2</v>
      </c>
      <c r="M82" s="32">
        <f t="shared" si="27"/>
        <v>3.0775868820025382E-2</v>
      </c>
      <c r="N82" s="34">
        <f t="shared" si="27"/>
        <v>2.6499595066073672E-2</v>
      </c>
      <c r="O82" s="33">
        <f t="shared" si="27"/>
        <v>5.3902718945210405E-2</v>
      </c>
      <c r="P82" s="33">
        <f t="shared" si="27"/>
        <v>7.969828076927242E-2</v>
      </c>
      <c r="Q82" s="32">
        <f t="shared" si="27"/>
        <v>7.2144251606172743E-2</v>
      </c>
      <c r="R82" s="33">
        <f t="shared" si="27"/>
        <v>2.2230441849668891E-2</v>
      </c>
      <c r="S82" s="33">
        <f t="shared" si="27"/>
        <v>4.3545126983333786E-2</v>
      </c>
      <c r="T82" s="33">
        <f t="shared" si="27"/>
        <v>8.0068921016745453E-2</v>
      </c>
      <c r="U82" s="32">
        <f t="shared" si="27"/>
        <v>7.864458486435888E-2</v>
      </c>
      <c r="V82" s="9"/>
      <c r="W82" s="9"/>
    </row>
    <row r="83" spans="1:23" x14ac:dyDescent="0.2">
      <c r="A83" s="26" t="s">
        <v>49</v>
      </c>
      <c r="B83" s="37">
        <f t="shared" si="27"/>
        <v>4.0056290927046045E-2</v>
      </c>
      <c r="C83" s="61">
        <f t="shared" si="27"/>
        <v>0.12927257749281074</v>
      </c>
      <c r="D83" s="61">
        <f t="shared" si="27"/>
        <v>0.18935068537145033</v>
      </c>
      <c r="E83" s="62">
        <f t="shared" si="27"/>
        <v>0.18023868917020211</v>
      </c>
      <c r="F83" s="61">
        <f t="shared" si="27"/>
        <v>3.6867849659056498E-2</v>
      </c>
      <c r="G83" s="28">
        <f t="shared" si="27"/>
        <v>0.16843674328255867</v>
      </c>
      <c r="H83" s="28">
        <f t="shared" si="27"/>
        <v>0.1660973721345444</v>
      </c>
      <c r="I83" s="62">
        <f t="shared" si="27"/>
        <v>0.1727934816719649</v>
      </c>
      <c r="J83" s="37">
        <f t="shared" si="27"/>
        <v>3.820866159819105E-2</v>
      </c>
      <c r="K83" s="61">
        <f t="shared" si="27"/>
        <v>0.13655734241547537</v>
      </c>
      <c r="L83" s="61">
        <f t="shared" si="27"/>
        <v>0.1975449174003478</v>
      </c>
      <c r="M83" s="62">
        <f t="shared" si="27"/>
        <v>9.6173549784142012E-2</v>
      </c>
      <c r="N83" s="37">
        <f t="shared" si="27"/>
        <v>3.7433833699664111E-2</v>
      </c>
      <c r="O83" s="61">
        <f t="shared" si="27"/>
        <v>0.14377671560924785</v>
      </c>
      <c r="P83" s="61">
        <f t="shared" si="27"/>
        <v>0.19913743496924813</v>
      </c>
      <c r="Q83" s="62">
        <f t="shared" si="27"/>
        <v>0.18380005809922537</v>
      </c>
      <c r="R83" s="61">
        <f t="shared" si="27"/>
        <v>3.1782952884298832E-2</v>
      </c>
      <c r="S83" s="61">
        <f t="shared" si="27"/>
        <v>0.17431028753602582</v>
      </c>
      <c r="T83" s="61">
        <f t="shared" si="27"/>
        <v>0.25617628536018122</v>
      </c>
      <c r="U83" s="62">
        <f t="shared" si="27"/>
        <v>0.27060880833152706</v>
      </c>
      <c r="V83" s="9"/>
      <c r="W83" s="9"/>
    </row>
    <row r="84" spans="1:23" x14ac:dyDescent="0.2">
      <c r="A84" s="9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9"/>
      <c r="W84" s="9"/>
    </row>
    <row r="85" spans="1:23" x14ac:dyDescent="0.2">
      <c r="A85" s="9"/>
      <c r="B85" s="9"/>
      <c r="C85" s="9"/>
      <c r="D85" s="9"/>
      <c r="E85" s="33"/>
      <c r="F85" s="9"/>
      <c r="G85" s="9"/>
      <c r="H85" s="9"/>
      <c r="I85" s="33"/>
      <c r="J85" s="9"/>
      <c r="K85" s="9"/>
      <c r="L85" s="9"/>
      <c r="M85" s="33"/>
      <c r="N85" s="9"/>
      <c r="O85" s="9"/>
      <c r="P85" s="9"/>
      <c r="Q85" s="33"/>
      <c r="R85" s="9"/>
      <c r="S85" s="9"/>
      <c r="T85" s="9"/>
      <c r="U85" s="33"/>
      <c r="V85" s="9"/>
      <c r="W85" s="9"/>
    </row>
    <row r="86" spans="1:23" ht="16" x14ac:dyDescent="0.2">
      <c r="A86" s="9"/>
      <c r="B86" s="127" t="s">
        <v>56</v>
      </c>
      <c r="C86" s="127"/>
      <c r="D86" s="127" t="s">
        <v>6</v>
      </c>
      <c r="E86" s="127"/>
      <c r="F86" s="127" t="s">
        <v>7</v>
      </c>
      <c r="G86" s="127"/>
      <c r="H86" s="127" t="s">
        <v>8</v>
      </c>
      <c r="I86" s="127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 spans="1:23" ht="16" x14ac:dyDescent="0.2">
      <c r="A87" s="9"/>
      <c r="B87" s="13" t="s">
        <v>57</v>
      </c>
      <c r="C87" s="13" t="s">
        <v>58</v>
      </c>
      <c r="D87" s="13" t="s">
        <v>57</v>
      </c>
      <c r="E87" s="13" t="s">
        <v>58</v>
      </c>
      <c r="F87" s="13" t="s">
        <v>57</v>
      </c>
      <c r="G87" s="13" t="s">
        <v>58</v>
      </c>
      <c r="H87" s="13" t="s">
        <v>57</v>
      </c>
      <c r="I87" s="13" t="s">
        <v>58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 spans="1:23" x14ac:dyDescent="0.2">
      <c r="A88" s="15" t="s">
        <v>39</v>
      </c>
      <c r="B88" s="63">
        <f>AVERAGE(B74,F74,J74,N74,R74)</f>
        <v>7.7539981859419085E-2</v>
      </c>
      <c r="C88" s="63">
        <f t="shared" ref="C88:C97" si="28">STDEVA(B74,F74,J74,N74,R74)</f>
        <v>1.0070067030249569E-2</v>
      </c>
      <c r="D88" s="63">
        <f t="shared" ref="D88:D97" si="29">AVERAGE(C74,G74,K74,O74,S74)</f>
        <v>0.79777854752799549</v>
      </c>
      <c r="E88" s="63">
        <f t="shared" ref="E88:E97" si="30">STDEVA(C74,G74,K74,O74,S74)</f>
        <v>0.53833984317834704</v>
      </c>
      <c r="F88" s="63">
        <f t="shared" ref="F88:F97" si="31">AVERAGE(D74,H74,L74,P74,T74)</f>
        <v>3.304762090613965</v>
      </c>
      <c r="G88" s="63">
        <f t="shared" ref="G88:G97" si="32">STDEVA(D74,H74,L74,P74,T74)</f>
        <v>0.97618547296266045</v>
      </c>
      <c r="H88" s="63">
        <f t="shared" ref="H88:H97" si="33">AVERAGE(E74,I74,M74,Q74,U74)</f>
        <v>4.6834685777323042</v>
      </c>
      <c r="I88" s="63">
        <f t="shared" ref="I88:I97" si="34">STDEVA(E74,I74,M74,Q74,U74)</f>
        <v>1.4540283707436596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 spans="1:23" x14ac:dyDescent="0.2">
      <c r="A89" s="20" t="s">
        <v>40</v>
      </c>
      <c r="B89" s="64">
        <f t="shared" ref="B89:B97" si="35">AVERAGE(B75,F75,J75,N75,R75)</f>
        <v>5.7875711210480338E-2</v>
      </c>
      <c r="C89" s="64">
        <f t="shared" si="28"/>
        <v>9.7690280340296982E-3</v>
      </c>
      <c r="D89" s="64">
        <f t="shared" si="29"/>
        <v>1.82742119952281E-2</v>
      </c>
      <c r="E89" s="64">
        <f t="shared" si="30"/>
        <v>1.871726598602828E-2</v>
      </c>
      <c r="F89" s="64">
        <f t="shared" si="31"/>
        <v>3.7474841133147252E-2</v>
      </c>
      <c r="G89" s="64">
        <f t="shared" si="32"/>
        <v>8.9969758218490826E-3</v>
      </c>
      <c r="H89" s="64">
        <f t="shared" si="33"/>
        <v>8.5905220086596359E-2</v>
      </c>
      <c r="I89" s="64">
        <f t="shared" si="34"/>
        <v>4.5578406834324819E-2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 spans="1:23" x14ac:dyDescent="0.2">
      <c r="A90" s="20" t="s">
        <v>41</v>
      </c>
      <c r="B90" s="64">
        <f t="shared" si="35"/>
        <v>2.7032161674114302E-2</v>
      </c>
      <c r="C90" s="64">
        <f t="shared" si="28"/>
        <v>3.898357934378701E-2</v>
      </c>
      <c r="D90" s="64">
        <f t="shared" si="29"/>
        <v>0.31157075133808304</v>
      </c>
      <c r="E90" s="64">
        <f t="shared" si="30"/>
        <v>0.15820225656750497</v>
      </c>
      <c r="F90" s="64">
        <f t="shared" si="31"/>
        <v>1.2151568079727013</v>
      </c>
      <c r="G90" s="64">
        <f t="shared" si="32"/>
        <v>0.60890911360666267</v>
      </c>
      <c r="H90" s="64">
        <f t="shared" si="33"/>
        <v>1.3339837273586972</v>
      </c>
      <c r="I90" s="64">
        <f t="shared" si="34"/>
        <v>0.67466204977642408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 spans="1:23" x14ac:dyDescent="0.2">
      <c r="A91" s="20" t="s">
        <v>42</v>
      </c>
      <c r="B91" s="64">
        <f t="shared" si="35"/>
        <v>0.22688512776118869</v>
      </c>
      <c r="C91" s="64">
        <f t="shared" si="28"/>
        <v>5.0954893016052612E-2</v>
      </c>
      <c r="D91" s="64">
        <f t="shared" si="29"/>
        <v>0.60069820031494869</v>
      </c>
      <c r="E91" s="64">
        <f t="shared" si="30"/>
        <v>0.27676244198696442</v>
      </c>
      <c r="F91" s="64">
        <f t="shared" si="31"/>
        <v>0.79729426977573337</v>
      </c>
      <c r="G91" s="64">
        <f t="shared" si="32"/>
        <v>0.41091186128061341</v>
      </c>
      <c r="H91" s="64">
        <f t="shared" si="33"/>
        <v>0.75660883521131983</v>
      </c>
      <c r="I91" s="64">
        <f t="shared" si="34"/>
        <v>0.48556353294202387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 spans="1:23" x14ac:dyDescent="0.2">
      <c r="A92" s="20" t="s">
        <v>43</v>
      </c>
      <c r="B92" s="64">
        <f t="shared" si="35"/>
        <v>3.3091282910097136E-2</v>
      </c>
      <c r="C92" s="64">
        <f t="shared" si="28"/>
        <v>1.4753631095777089E-2</v>
      </c>
      <c r="D92" s="64">
        <f t="shared" si="29"/>
        <v>2.3735805794436647E-2</v>
      </c>
      <c r="E92" s="64">
        <f t="shared" si="30"/>
        <v>1.365444866799434E-2</v>
      </c>
      <c r="F92" s="64">
        <f t="shared" si="31"/>
        <v>8.5537312119722098E-2</v>
      </c>
      <c r="G92" s="64">
        <f t="shared" si="32"/>
        <v>2.6491528624529026E-2</v>
      </c>
      <c r="H92" s="64">
        <f t="shared" si="33"/>
        <v>6.1704218259057232E-2</v>
      </c>
      <c r="I92" s="64">
        <f t="shared" si="34"/>
        <v>4.9551680248596163E-3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 spans="1:23" x14ac:dyDescent="0.2">
      <c r="A93" s="20" t="s">
        <v>44</v>
      </c>
      <c r="B93" s="64">
        <f t="shared" si="35"/>
        <v>3.5397593941995195E-2</v>
      </c>
      <c r="C93" s="64">
        <f t="shared" si="28"/>
        <v>1.6889741247641143E-2</v>
      </c>
      <c r="D93" s="64">
        <f t="shared" si="29"/>
        <v>7.2656058512288763E-2</v>
      </c>
      <c r="E93" s="64">
        <f t="shared" si="30"/>
        <v>4.5769388623156645E-2</v>
      </c>
      <c r="F93" s="64">
        <f t="shared" si="31"/>
        <v>0.12851645789894367</v>
      </c>
      <c r="G93" s="64">
        <f t="shared" si="32"/>
        <v>6.0086503373745492E-2</v>
      </c>
      <c r="H93" s="64">
        <f t="shared" si="33"/>
        <v>0.13020802321139868</v>
      </c>
      <c r="I93" s="64">
        <f t="shared" si="34"/>
        <v>0.11572943502924854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 spans="1:23" x14ac:dyDescent="0.2">
      <c r="A94" s="20" t="s">
        <v>45</v>
      </c>
      <c r="B94" s="64">
        <f t="shared" si="35"/>
        <v>6.8149546536168032E-2</v>
      </c>
      <c r="C94" s="64">
        <f t="shared" si="28"/>
        <v>1.2798949303193511E-2</v>
      </c>
      <c r="D94" s="64">
        <f t="shared" si="29"/>
        <v>0.11719605133441187</v>
      </c>
      <c r="E94" s="64">
        <f t="shared" si="30"/>
        <v>1.9337495085176772E-2</v>
      </c>
      <c r="F94" s="64">
        <f t="shared" si="31"/>
        <v>0.20011992959779609</v>
      </c>
      <c r="G94" s="64">
        <f t="shared" si="32"/>
        <v>6.249970745327766E-2</v>
      </c>
      <c r="H94" s="64">
        <f t="shared" si="33"/>
        <v>0.21934978088963158</v>
      </c>
      <c r="I94" s="64">
        <f t="shared" si="34"/>
        <v>7.7303903553977621E-2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 spans="1:23" x14ac:dyDescent="0.2">
      <c r="A95" s="20" t="s">
        <v>47</v>
      </c>
      <c r="B95" s="64">
        <f t="shared" si="35"/>
        <v>0.86518511177011315</v>
      </c>
      <c r="C95" s="64">
        <f t="shared" si="28"/>
        <v>5.4972943434314053E-2</v>
      </c>
      <c r="D95" s="64">
        <f t="shared" si="29"/>
        <v>1.0473403697204069</v>
      </c>
      <c r="E95" s="64">
        <f t="shared" si="30"/>
        <v>8.1624142155264978E-2</v>
      </c>
      <c r="F95" s="64">
        <f t="shared" si="31"/>
        <v>1.2414332955512486</v>
      </c>
      <c r="G95" s="64">
        <f t="shared" si="32"/>
        <v>0.21114463595059368</v>
      </c>
      <c r="H95" s="64">
        <f t="shared" si="33"/>
        <v>1.1042094701356304</v>
      </c>
      <c r="I95" s="64">
        <f t="shared" si="34"/>
        <v>0.13250633453063926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 spans="1:23" x14ac:dyDescent="0.2">
      <c r="A96" s="20" t="s">
        <v>48</v>
      </c>
      <c r="B96" s="64">
        <f t="shared" si="35"/>
        <v>2.9059263980784178E-2</v>
      </c>
      <c r="C96" s="64">
        <f t="shared" si="28"/>
        <v>5.6218604029619618E-3</v>
      </c>
      <c r="D96" s="64">
        <f t="shared" si="29"/>
        <v>5.520726810738158E-2</v>
      </c>
      <c r="E96" s="64">
        <f t="shared" si="30"/>
        <v>1.0584023954372041E-2</v>
      </c>
      <c r="F96" s="64">
        <f t="shared" si="31"/>
        <v>0.12403334071350831</v>
      </c>
      <c r="G96" s="64">
        <f t="shared" si="32"/>
        <v>8.0431233360915011E-2</v>
      </c>
      <c r="H96" s="64">
        <f t="shared" si="33"/>
        <v>0.14930359488967249</v>
      </c>
      <c r="I96" s="64">
        <f t="shared" si="34"/>
        <v>0.12747742646698826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 spans="1:23" x14ac:dyDescent="0.2">
      <c r="A97" s="26" t="s">
        <v>49</v>
      </c>
      <c r="B97" s="65">
        <f t="shared" si="35"/>
        <v>3.6869917753651303E-2</v>
      </c>
      <c r="C97" s="65">
        <f t="shared" si="28"/>
        <v>3.0878967815744637E-3</v>
      </c>
      <c r="D97" s="65">
        <f t="shared" si="29"/>
        <v>0.15047073326722368</v>
      </c>
      <c r="E97" s="65">
        <f t="shared" si="30"/>
        <v>1.9867410432926162E-2</v>
      </c>
      <c r="F97" s="65">
        <f t="shared" si="31"/>
        <v>0.20166133904715436</v>
      </c>
      <c r="G97" s="65">
        <f t="shared" si="32"/>
        <v>3.3209721193369575E-2</v>
      </c>
      <c r="H97" s="65">
        <f t="shared" si="33"/>
        <v>0.18072291741141228</v>
      </c>
      <c r="I97" s="65">
        <f t="shared" si="34"/>
        <v>6.1847894417721073E-2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 spans="1:23" x14ac:dyDescent="0.2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 spans="1:23" x14ac:dyDescent="0.2">
      <c r="A99" s="66" t="s">
        <v>59</v>
      </c>
      <c r="B99" s="67">
        <f>SUM(B90:B92)</f>
        <v>0.28700857234540011</v>
      </c>
      <c r="C99" s="67">
        <f>AVERAGE(C88:C97)</f>
        <v>2.1790258968958108E-2</v>
      </c>
      <c r="D99" s="67">
        <f>SUM(D90:D92)</f>
        <v>0.93600475744746847</v>
      </c>
      <c r="E99" s="67">
        <f>AVERAGE(E88:E97)</f>
        <v>0.11828587166377358</v>
      </c>
      <c r="F99" s="67">
        <f>SUM(F90:F92)</f>
        <v>2.0979883898681568</v>
      </c>
      <c r="G99" s="67">
        <f>AVERAGE(G88:G97)</f>
        <v>0.24788667536282158</v>
      </c>
      <c r="H99" s="67">
        <f>SUM(H90:H92)</f>
        <v>2.1522967808290745</v>
      </c>
      <c r="I99" s="67">
        <f>AVERAGE(I88:I97)</f>
        <v>0.31796525223198668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 spans="1:23" x14ac:dyDescent="0.2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</sheetData>
  <mergeCells count="7">
    <mergeCell ref="B24:U24"/>
    <mergeCell ref="B39:U39"/>
    <mergeCell ref="B72:U72"/>
    <mergeCell ref="B86:C86"/>
    <mergeCell ref="D86:E86"/>
    <mergeCell ref="F86:G86"/>
    <mergeCell ref="H86:I8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98E9C-5905-4E8D-BDA7-E844B1829ADF}">
  <dimension ref="A1:W100"/>
  <sheetViews>
    <sheetView topLeftCell="A60" workbookViewId="0">
      <selection activeCell="R78" sqref="R78:U79"/>
    </sheetView>
  </sheetViews>
  <sheetFormatPr baseColWidth="10" defaultColWidth="11.5" defaultRowHeight="15" x14ac:dyDescent="0.2"/>
  <cols>
    <col min="1" max="1" width="29.5" bestFit="1" customWidth="1"/>
    <col min="2" max="2" width="18.33203125" bestFit="1" customWidth="1"/>
    <col min="3" max="5" width="17.1640625" bestFit="1" customWidth="1"/>
    <col min="6" max="6" width="15.33203125" bestFit="1" customWidth="1"/>
    <col min="7" max="19" width="12.5" bestFit="1" customWidth="1"/>
  </cols>
  <sheetData>
    <row r="1" spans="1:23" hidden="1" x14ac:dyDescent="0.2">
      <c r="A1" s="7" t="s">
        <v>12</v>
      </c>
      <c r="B1" s="7">
        <v>20</v>
      </c>
      <c r="C1" s="7"/>
      <c r="D1" s="7"/>
      <c r="E1" s="8"/>
      <c r="F1" s="8"/>
      <c r="G1" s="8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 hidden="1" x14ac:dyDescent="0.2">
      <c r="A2" s="10"/>
      <c r="B2" s="8"/>
      <c r="C2" s="8"/>
      <c r="D2" s="8"/>
      <c r="E2" s="8"/>
      <c r="F2" s="8"/>
      <c r="G2" s="8"/>
      <c r="H2" s="11"/>
      <c r="I2" s="11"/>
      <c r="J2" s="11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hidden="1" x14ac:dyDescent="0.2">
      <c r="A3" s="7" t="s">
        <v>13</v>
      </c>
      <c r="B3" s="7">
        <v>2.5100000000000001E-2</v>
      </c>
      <c r="C3" s="12" t="s">
        <v>14</v>
      </c>
      <c r="D3" s="7"/>
      <c r="E3" s="12"/>
      <c r="F3" s="12"/>
      <c r="G3" s="12"/>
      <c r="H3" s="11"/>
      <c r="I3" s="11"/>
      <c r="J3" s="11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hidden="1" x14ac:dyDescent="0.2">
      <c r="A4" s="7" t="s">
        <v>15</v>
      </c>
      <c r="B4" s="7">
        <v>1.1662213962132653</v>
      </c>
      <c r="C4" s="12" t="s">
        <v>16</v>
      </c>
      <c r="D4" s="7"/>
      <c r="E4" s="12"/>
      <c r="F4" s="12"/>
      <c r="G4" s="12"/>
      <c r="H4" s="11"/>
      <c r="I4" s="11"/>
      <c r="J4" s="11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spans="1:23" hidden="1" x14ac:dyDescent="0.2">
      <c r="A5" s="7" t="s">
        <v>17</v>
      </c>
      <c r="B5" s="7">
        <v>0.23324427924265306</v>
      </c>
      <c r="C5" s="12" t="s">
        <v>16</v>
      </c>
      <c r="D5" s="7"/>
      <c r="E5" s="12"/>
      <c r="F5" s="12"/>
      <c r="G5" s="12"/>
      <c r="H5" s="11"/>
      <c r="I5" s="11"/>
      <c r="J5" s="11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spans="1:23" hidden="1" x14ac:dyDescent="0.2">
      <c r="A6" s="7" t="s">
        <v>17</v>
      </c>
      <c r="B6" s="7">
        <v>20.080000000000002</v>
      </c>
      <c r="C6" s="12" t="s">
        <v>18</v>
      </c>
      <c r="D6" s="7"/>
      <c r="E6" s="12" t="s">
        <v>18</v>
      </c>
      <c r="F6" s="12"/>
      <c r="G6" s="12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spans="1:23" hidden="1" x14ac:dyDescent="0.2">
      <c r="A7" s="10"/>
      <c r="B7" s="8"/>
      <c r="C7" s="8"/>
      <c r="D7" s="8"/>
      <c r="E7" s="8"/>
      <c r="F7" s="8"/>
      <c r="G7" s="8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spans="1:23" hidden="1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spans="1:23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spans="1:23" ht="16" x14ac:dyDescent="0.2">
      <c r="A10" s="9"/>
      <c r="B10" s="13" t="s">
        <v>19</v>
      </c>
      <c r="C10" s="13" t="s">
        <v>20</v>
      </c>
      <c r="D10" s="13" t="s">
        <v>21</v>
      </c>
      <c r="E10" s="13" t="s">
        <v>22</v>
      </c>
      <c r="F10" s="13" t="s">
        <v>23</v>
      </c>
      <c r="G10" s="13" t="s">
        <v>24</v>
      </c>
      <c r="H10" s="13" t="s">
        <v>25</v>
      </c>
      <c r="I10" s="13" t="s">
        <v>26</v>
      </c>
      <c r="J10" s="14" t="s">
        <v>27</v>
      </c>
      <c r="K10" s="13" t="s">
        <v>28</v>
      </c>
      <c r="L10" s="13" t="s">
        <v>29</v>
      </c>
      <c r="M10" s="13" t="s">
        <v>30</v>
      </c>
      <c r="N10" s="13" t="s">
        <v>31</v>
      </c>
      <c r="O10" s="13" t="s">
        <v>32</v>
      </c>
      <c r="P10" s="13" t="s">
        <v>33</v>
      </c>
      <c r="Q10" s="13" t="s">
        <v>34</v>
      </c>
      <c r="R10" s="13" t="s">
        <v>35</v>
      </c>
      <c r="S10" s="13" t="s">
        <v>36</v>
      </c>
      <c r="T10" s="13" t="s">
        <v>37</v>
      </c>
      <c r="U10" s="13" t="s">
        <v>38</v>
      </c>
      <c r="V10" s="9"/>
      <c r="W10" s="9"/>
    </row>
    <row r="11" spans="1:23" x14ac:dyDescent="0.2">
      <c r="A11" s="15" t="s">
        <v>39</v>
      </c>
      <c r="B11" s="70">
        <v>92785</v>
      </c>
      <c r="C11" s="9">
        <v>86927</v>
      </c>
      <c r="D11" s="9">
        <v>810738</v>
      </c>
      <c r="E11" s="16">
        <v>4523101</v>
      </c>
      <c r="F11" s="70">
        <v>88066</v>
      </c>
      <c r="G11" s="9">
        <v>224419</v>
      </c>
      <c r="H11" s="9">
        <v>3286756</v>
      </c>
      <c r="I11" s="17">
        <v>5794361</v>
      </c>
      <c r="J11" s="70">
        <v>67739</v>
      </c>
      <c r="K11" s="19">
        <v>610520</v>
      </c>
      <c r="L11">
        <v>2343376</v>
      </c>
      <c r="M11" s="16">
        <v>2942495</v>
      </c>
      <c r="N11" s="70">
        <v>82365</v>
      </c>
      <c r="O11" s="9">
        <v>281455</v>
      </c>
      <c r="P11" s="9">
        <v>2792950</v>
      </c>
      <c r="Q11" s="16">
        <v>4437641</v>
      </c>
      <c r="R11" s="71">
        <v>66763</v>
      </c>
      <c r="S11" s="19">
        <v>907608</v>
      </c>
      <c r="T11" s="19">
        <v>3282923</v>
      </c>
      <c r="U11" s="16">
        <v>5459960</v>
      </c>
      <c r="V11" s="9"/>
      <c r="W11" s="9"/>
    </row>
    <row r="12" spans="1:23" x14ac:dyDescent="0.2">
      <c r="A12" s="20" t="s">
        <v>40</v>
      </c>
      <c r="B12" s="2">
        <v>107710</v>
      </c>
      <c r="C12" s="9">
        <v>20699</v>
      </c>
      <c r="D12" s="9">
        <v>26222</v>
      </c>
      <c r="E12" s="17">
        <v>34260</v>
      </c>
      <c r="F12" s="2">
        <v>82786</v>
      </c>
      <c r="G12" s="9">
        <v>11439</v>
      </c>
      <c r="H12" s="9">
        <v>29778</v>
      </c>
      <c r="I12" s="17">
        <v>31836</v>
      </c>
      <c r="J12" s="2">
        <v>67189</v>
      </c>
      <c r="K12" s="9">
        <v>14507</v>
      </c>
      <c r="L12">
        <v>24984</v>
      </c>
      <c r="M12" s="17">
        <v>67411</v>
      </c>
      <c r="N12" s="2">
        <v>79404</v>
      </c>
      <c r="O12" s="9">
        <v>15996</v>
      </c>
      <c r="P12" s="9">
        <v>40425</v>
      </c>
      <c r="Q12" s="17">
        <v>42436</v>
      </c>
      <c r="R12">
        <v>67994</v>
      </c>
      <c r="S12" s="9">
        <v>13269</v>
      </c>
      <c r="T12" s="9">
        <v>70727</v>
      </c>
      <c r="U12" s="17">
        <v>50375</v>
      </c>
      <c r="V12" s="9"/>
      <c r="W12" s="9"/>
    </row>
    <row r="13" spans="1:23" x14ac:dyDescent="0.2">
      <c r="A13" s="20" t="s">
        <v>41</v>
      </c>
      <c r="B13" s="22">
        <v>6869</v>
      </c>
      <c r="C13" s="9">
        <v>132489</v>
      </c>
      <c r="D13" s="9">
        <v>287912</v>
      </c>
      <c r="E13" s="17">
        <v>1292427</v>
      </c>
      <c r="F13" s="2">
        <v>22979</v>
      </c>
      <c r="G13" s="9">
        <v>98323</v>
      </c>
      <c r="H13" s="9">
        <v>559614</v>
      </c>
      <c r="I13" s="17">
        <v>894354</v>
      </c>
      <c r="J13" s="22">
        <v>70287</v>
      </c>
      <c r="K13" s="9">
        <v>244274</v>
      </c>
      <c r="L13">
        <v>1177251</v>
      </c>
      <c r="M13" s="17">
        <v>1522397</v>
      </c>
      <c r="N13" s="22">
        <v>16950</v>
      </c>
      <c r="O13" s="9">
        <v>154655</v>
      </c>
      <c r="P13" s="9">
        <v>849613</v>
      </c>
      <c r="Q13" s="17">
        <v>1252834</v>
      </c>
      <c r="R13">
        <v>6718</v>
      </c>
      <c r="S13" s="9">
        <v>32454</v>
      </c>
      <c r="T13" s="9">
        <v>58062</v>
      </c>
      <c r="U13" s="17">
        <v>123474</v>
      </c>
      <c r="V13" s="9"/>
      <c r="W13" s="9"/>
    </row>
    <row r="14" spans="1:23" x14ac:dyDescent="0.2">
      <c r="A14" s="20" t="s">
        <v>42</v>
      </c>
      <c r="B14" s="2">
        <v>236649</v>
      </c>
      <c r="C14" s="9">
        <v>450711</v>
      </c>
      <c r="D14" s="9">
        <v>98995</v>
      </c>
      <c r="E14" s="17">
        <v>81908</v>
      </c>
      <c r="F14" s="2">
        <v>148107</v>
      </c>
      <c r="G14" s="9">
        <v>130634</v>
      </c>
      <c r="H14" s="9">
        <v>132639</v>
      </c>
      <c r="I14" s="17">
        <v>140074</v>
      </c>
      <c r="J14" s="2">
        <v>126288</v>
      </c>
      <c r="K14" s="9">
        <v>420261</v>
      </c>
      <c r="L14">
        <v>476211</v>
      </c>
      <c r="M14" s="17">
        <v>481715</v>
      </c>
      <c r="N14" s="2">
        <v>152178</v>
      </c>
      <c r="O14" s="9">
        <v>453475</v>
      </c>
      <c r="P14" s="9">
        <v>500413</v>
      </c>
      <c r="Q14" s="17">
        <v>417080</v>
      </c>
      <c r="R14">
        <v>127094</v>
      </c>
      <c r="S14" s="9">
        <v>503962</v>
      </c>
      <c r="T14" s="9">
        <v>548777</v>
      </c>
      <c r="U14" s="17">
        <v>553836</v>
      </c>
      <c r="V14" s="9"/>
      <c r="W14" s="9"/>
    </row>
    <row r="15" spans="1:23" x14ac:dyDescent="0.2">
      <c r="A15" s="20" t="s">
        <v>43</v>
      </c>
      <c r="B15" s="2">
        <v>35767</v>
      </c>
      <c r="C15" s="9">
        <v>78417</v>
      </c>
      <c r="D15" s="9">
        <v>34144</v>
      </c>
      <c r="E15" s="17">
        <v>45833</v>
      </c>
      <c r="F15" s="2">
        <v>36622</v>
      </c>
      <c r="G15" s="9">
        <v>66708</v>
      </c>
      <c r="H15" s="9">
        <v>110512</v>
      </c>
      <c r="I15" s="17">
        <v>86977</v>
      </c>
      <c r="J15" s="2">
        <v>66040</v>
      </c>
      <c r="K15" s="9">
        <v>67633</v>
      </c>
      <c r="L15">
        <v>54245</v>
      </c>
      <c r="M15" s="17">
        <v>65637</v>
      </c>
      <c r="N15" s="2">
        <v>39796</v>
      </c>
      <c r="O15" s="9">
        <v>94378</v>
      </c>
      <c r="P15" s="9">
        <v>35998</v>
      </c>
      <c r="Q15" s="17">
        <v>68700</v>
      </c>
      <c r="R15">
        <v>42941</v>
      </c>
      <c r="S15" s="9">
        <v>27511</v>
      </c>
      <c r="T15" s="9">
        <v>97384</v>
      </c>
      <c r="U15" s="17">
        <v>76019</v>
      </c>
      <c r="V15" s="9"/>
      <c r="W15" s="9"/>
    </row>
    <row r="16" spans="1:23" x14ac:dyDescent="0.2">
      <c r="A16" s="20" t="s">
        <v>44</v>
      </c>
      <c r="B16" s="2">
        <v>34084</v>
      </c>
      <c r="C16" s="9">
        <v>233249</v>
      </c>
      <c r="D16" s="9">
        <v>112475</v>
      </c>
      <c r="E16" s="17">
        <v>156804</v>
      </c>
      <c r="F16" s="2">
        <v>21942</v>
      </c>
      <c r="G16" s="9">
        <v>119835</v>
      </c>
      <c r="H16" s="9">
        <v>117813</v>
      </c>
      <c r="I16" s="17">
        <v>68992</v>
      </c>
      <c r="J16" s="2">
        <v>40563</v>
      </c>
      <c r="K16" s="9">
        <v>272931</v>
      </c>
      <c r="L16">
        <v>143139</v>
      </c>
      <c r="M16" s="17">
        <v>227857</v>
      </c>
      <c r="N16" s="22">
        <v>15466</v>
      </c>
      <c r="O16" s="9">
        <v>112673</v>
      </c>
      <c r="P16" s="9">
        <v>114860</v>
      </c>
      <c r="Q16" s="17">
        <v>161327</v>
      </c>
      <c r="R16">
        <v>12680</v>
      </c>
      <c r="S16" s="9">
        <v>170354</v>
      </c>
      <c r="T16" s="9">
        <v>185306</v>
      </c>
      <c r="U16" s="17">
        <v>56125</v>
      </c>
      <c r="V16" s="9"/>
      <c r="W16" s="9"/>
    </row>
    <row r="17" spans="1:23" x14ac:dyDescent="0.2">
      <c r="A17" s="20" t="s">
        <v>45</v>
      </c>
      <c r="B17" s="22">
        <v>23785</v>
      </c>
      <c r="C17" s="9">
        <v>45363</v>
      </c>
      <c r="D17" s="9">
        <v>56402</v>
      </c>
      <c r="E17" s="17">
        <v>47131</v>
      </c>
      <c r="F17" s="2">
        <v>30348</v>
      </c>
      <c r="G17" s="9">
        <v>63541</v>
      </c>
      <c r="H17" s="9">
        <v>132499</v>
      </c>
      <c r="I17" s="17">
        <v>193199</v>
      </c>
      <c r="J17" s="2">
        <v>21104</v>
      </c>
      <c r="K17" s="9">
        <v>74857</v>
      </c>
      <c r="L17">
        <v>99957</v>
      </c>
      <c r="M17" s="17">
        <v>121795</v>
      </c>
      <c r="N17" s="2">
        <v>33957</v>
      </c>
      <c r="O17" s="9">
        <v>48845</v>
      </c>
      <c r="P17" s="9">
        <v>87651</v>
      </c>
      <c r="Q17" s="17">
        <v>126853</v>
      </c>
      <c r="R17">
        <v>11660</v>
      </c>
      <c r="S17" s="9">
        <v>64084</v>
      </c>
      <c r="T17" s="9">
        <v>68314</v>
      </c>
      <c r="U17" s="17">
        <v>81393</v>
      </c>
      <c r="V17" s="9"/>
      <c r="W17" s="9"/>
    </row>
    <row r="18" spans="1:23" x14ac:dyDescent="0.2">
      <c r="A18" s="23" t="s">
        <v>46</v>
      </c>
      <c r="B18" s="74">
        <v>5670700</v>
      </c>
      <c r="C18" s="24">
        <v>5227058</v>
      </c>
      <c r="D18" s="24">
        <v>5252533</v>
      </c>
      <c r="E18" s="25">
        <v>5244875</v>
      </c>
      <c r="F18" s="74">
        <v>5101285</v>
      </c>
      <c r="G18" s="24">
        <v>5186272</v>
      </c>
      <c r="H18" s="24">
        <v>5144154</v>
      </c>
      <c r="I18" s="25">
        <v>5248457</v>
      </c>
      <c r="J18" s="74">
        <v>5062824</v>
      </c>
      <c r="K18" s="24">
        <v>5193096</v>
      </c>
      <c r="L18" s="69">
        <v>4843360</v>
      </c>
      <c r="M18" s="25">
        <v>5171759</v>
      </c>
      <c r="N18" s="74">
        <v>5228153</v>
      </c>
      <c r="O18" s="24">
        <v>5144040</v>
      </c>
      <c r="P18" s="24">
        <v>5151643</v>
      </c>
      <c r="Q18" s="25">
        <v>5377544</v>
      </c>
      <c r="R18" s="75">
        <v>5039301</v>
      </c>
      <c r="S18" s="24">
        <v>5200790</v>
      </c>
      <c r="T18" s="24">
        <v>5153236</v>
      </c>
      <c r="U18" s="25">
        <v>5120296</v>
      </c>
      <c r="V18" s="9"/>
      <c r="W18" s="9"/>
    </row>
    <row r="19" spans="1:23" x14ac:dyDescent="0.2">
      <c r="A19" s="20" t="s">
        <v>47</v>
      </c>
      <c r="B19" s="2">
        <v>590395</v>
      </c>
      <c r="C19" s="9">
        <v>660359</v>
      </c>
      <c r="D19" s="9">
        <v>819107</v>
      </c>
      <c r="E19" s="17">
        <v>792369</v>
      </c>
      <c r="F19" s="2">
        <v>572047</v>
      </c>
      <c r="G19" s="9">
        <v>689143</v>
      </c>
      <c r="H19" s="9">
        <v>894461</v>
      </c>
      <c r="I19" s="17">
        <v>728125</v>
      </c>
      <c r="J19" s="2">
        <v>549923</v>
      </c>
      <c r="K19" s="9">
        <v>663906</v>
      </c>
      <c r="L19">
        <v>695323</v>
      </c>
      <c r="M19" s="17">
        <v>760306</v>
      </c>
      <c r="N19" s="2">
        <v>590450</v>
      </c>
      <c r="O19" s="9">
        <v>740631</v>
      </c>
      <c r="P19" s="9">
        <v>741218</v>
      </c>
      <c r="Q19" s="17">
        <v>717497</v>
      </c>
      <c r="R19">
        <v>485178</v>
      </c>
      <c r="S19" s="9">
        <v>743459</v>
      </c>
      <c r="T19" s="9">
        <v>716220</v>
      </c>
      <c r="U19" s="17">
        <v>695759</v>
      </c>
      <c r="V19" s="9"/>
      <c r="W19" s="9"/>
    </row>
    <row r="20" spans="1:23" x14ac:dyDescent="0.2">
      <c r="A20" s="20" t="s">
        <v>48</v>
      </c>
      <c r="B20" s="2">
        <v>20645</v>
      </c>
      <c r="C20" s="9">
        <v>25463</v>
      </c>
      <c r="D20" s="9">
        <v>40147</v>
      </c>
      <c r="E20" s="17">
        <v>61031</v>
      </c>
      <c r="F20" s="2">
        <v>16963</v>
      </c>
      <c r="G20" s="9">
        <v>30794</v>
      </c>
      <c r="H20" s="9">
        <v>169182</v>
      </c>
      <c r="I20" s="17">
        <v>158772</v>
      </c>
      <c r="J20" s="2">
        <v>13138</v>
      </c>
      <c r="K20" s="9">
        <v>23285</v>
      </c>
      <c r="L20" s="9">
        <v>33926</v>
      </c>
      <c r="M20" s="17">
        <v>31697</v>
      </c>
      <c r="N20" s="2">
        <v>13255</v>
      </c>
      <c r="O20" s="9">
        <v>26369</v>
      </c>
      <c r="P20" s="9">
        <v>36281</v>
      </c>
      <c r="Q20" s="17">
        <v>27761</v>
      </c>
      <c r="R20">
        <v>10312</v>
      </c>
      <c r="S20" s="9">
        <v>26164</v>
      </c>
      <c r="T20" s="9">
        <v>32881</v>
      </c>
      <c r="U20" s="17">
        <v>24473</v>
      </c>
      <c r="V20" s="9"/>
      <c r="W20" s="9"/>
    </row>
    <row r="21" spans="1:23" x14ac:dyDescent="0.2">
      <c r="A21" s="26" t="s">
        <v>49</v>
      </c>
      <c r="B21" s="68">
        <v>26012</v>
      </c>
      <c r="C21" s="28">
        <v>49849</v>
      </c>
      <c r="D21" s="28">
        <v>92196</v>
      </c>
      <c r="E21" s="29">
        <v>112192</v>
      </c>
      <c r="F21" s="68">
        <v>21375</v>
      </c>
      <c r="G21" s="28">
        <v>81457</v>
      </c>
      <c r="H21" s="28">
        <v>105136</v>
      </c>
      <c r="I21" s="29">
        <v>57388</v>
      </c>
      <c r="J21" s="68">
        <v>22059</v>
      </c>
      <c r="K21" s="28">
        <v>52909</v>
      </c>
      <c r="L21" s="28">
        <v>56190</v>
      </c>
      <c r="M21" s="29">
        <v>58838</v>
      </c>
      <c r="N21" s="68">
        <v>22275</v>
      </c>
      <c r="O21" s="28">
        <v>26722</v>
      </c>
      <c r="P21" s="28">
        <v>78252</v>
      </c>
      <c r="Q21" s="29">
        <v>74920</v>
      </c>
      <c r="R21" s="77">
        <v>17925</v>
      </c>
      <c r="S21" s="28">
        <v>87985</v>
      </c>
      <c r="T21" s="28">
        <v>102810</v>
      </c>
      <c r="U21" s="29">
        <v>105157</v>
      </c>
      <c r="V21" s="9"/>
      <c r="W21" s="9"/>
    </row>
    <row r="22" spans="1:23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spans="1:23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 spans="1:23" ht="16" x14ac:dyDescent="0.2">
      <c r="A24" s="9"/>
      <c r="B24" s="124" t="s">
        <v>50</v>
      </c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9"/>
      <c r="W24" s="9"/>
    </row>
    <row r="25" spans="1:23" ht="16" x14ac:dyDescent="0.2">
      <c r="A25" s="9"/>
      <c r="B25" s="13" t="str">
        <f t="shared" ref="B25:U25" si="0">B10</f>
        <v>A_0h</v>
      </c>
      <c r="C25" s="13" t="str">
        <f t="shared" si="0"/>
        <v>A_12h</v>
      </c>
      <c r="D25" s="13" t="str">
        <f t="shared" si="0"/>
        <v>A_24h</v>
      </c>
      <c r="E25" s="13" t="str">
        <f t="shared" si="0"/>
        <v>A_48h</v>
      </c>
      <c r="F25" s="13" t="str">
        <f t="shared" si="0"/>
        <v>B_0h</v>
      </c>
      <c r="G25" s="13" t="str">
        <f t="shared" si="0"/>
        <v>B_12h</v>
      </c>
      <c r="H25" s="13" t="str">
        <f t="shared" si="0"/>
        <v>B_24h</v>
      </c>
      <c r="I25" s="13" t="str">
        <f t="shared" si="0"/>
        <v>B_48h</v>
      </c>
      <c r="J25" s="13" t="str">
        <f t="shared" si="0"/>
        <v>C_0h</v>
      </c>
      <c r="K25" s="13" t="str">
        <f t="shared" si="0"/>
        <v>C_12h</v>
      </c>
      <c r="L25" s="13" t="str">
        <f t="shared" si="0"/>
        <v>C_24h</v>
      </c>
      <c r="M25" s="13" t="str">
        <f t="shared" si="0"/>
        <v>C_48h</v>
      </c>
      <c r="N25" s="13" t="str">
        <f t="shared" si="0"/>
        <v>D_0h</v>
      </c>
      <c r="O25" s="13" t="str">
        <f t="shared" si="0"/>
        <v>D_12h</v>
      </c>
      <c r="P25" s="13" t="str">
        <f t="shared" si="0"/>
        <v>D_24h</v>
      </c>
      <c r="Q25" s="13" t="str">
        <f t="shared" si="0"/>
        <v>D_48h</v>
      </c>
      <c r="R25" s="13" t="str">
        <f t="shared" si="0"/>
        <v>E_0h</v>
      </c>
      <c r="S25" s="13" t="str">
        <f t="shared" si="0"/>
        <v>E_12h</v>
      </c>
      <c r="T25" s="13" t="str">
        <f t="shared" si="0"/>
        <v>E_24h</v>
      </c>
      <c r="U25" s="13" t="str">
        <f t="shared" si="0"/>
        <v>E_48h</v>
      </c>
      <c r="V25" s="9"/>
      <c r="W25" s="9"/>
    </row>
    <row r="26" spans="1:23" x14ac:dyDescent="0.2">
      <c r="A26" s="15" t="s">
        <v>39</v>
      </c>
      <c r="B26" s="18">
        <f>B11/$B$18</f>
        <v>1.6362177508949513E-2</v>
      </c>
      <c r="C26" s="19">
        <f t="shared" ref="C26:C36" si="1">C11/$C$18</f>
        <v>1.663019618301538E-2</v>
      </c>
      <c r="D26" s="19">
        <f t="shared" ref="D26:D36" si="2">D11/$D$18</f>
        <v>0.15435181463876571</v>
      </c>
      <c r="E26" s="16">
        <f t="shared" ref="E26:E36" si="3">E11/$E$18</f>
        <v>0.86238489954479369</v>
      </c>
      <c r="F26" s="19">
        <f t="shared" ref="F26:F36" si="4">F11/$F$18</f>
        <v>1.7263493413914338E-2</v>
      </c>
      <c r="G26" s="19">
        <f t="shared" ref="G26:G36" si="5">G11/$G$18</f>
        <v>4.3271737386700891E-2</v>
      </c>
      <c r="H26" s="19">
        <f t="shared" ref="H26:H36" si="6">H11/$H$18</f>
        <v>0.63893032751352308</v>
      </c>
      <c r="I26" s="19">
        <f t="shared" ref="I26:I36" si="7">I11/$I$18</f>
        <v>1.1040122839912758</v>
      </c>
      <c r="J26" s="18">
        <f t="shared" ref="J26:J36" si="8">J11/$J$18</f>
        <v>1.3379686909914309E-2</v>
      </c>
      <c r="K26" s="19">
        <f t="shared" ref="K26:K36" si="9">K11/$K$18</f>
        <v>0.11756378083517038</v>
      </c>
      <c r="L26" s="19">
        <f t="shared" ref="L26:L36" si="10">L11/$L$18</f>
        <v>0.48383271117571275</v>
      </c>
      <c r="M26" s="16">
        <f t="shared" ref="M26:M36" si="11">M11/$M$18</f>
        <v>0.5689543924997279</v>
      </c>
      <c r="N26" s="31">
        <f t="shared" ref="N26:N36" si="12">N11/$N$18</f>
        <v>1.5754129613268778E-2</v>
      </c>
      <c r="O26" s="31">
        <f t="shared" ref="O26:O36" si="13">O11/$O$18</f>
        <v>5.4714776712467245E-2</v>
      </c>
      <c r="P26" s="19">
        <f t="shared" ref="P26:P36" si="14">P11/$P$18</f>
        <v>0.5421474275294309</v>
      </c>
      <c r="Q26" s="19">
        <f t="shared" ref="Q26:Q36" si="15">Q11/$Q$18</f>
        <v>0.82521705075774365</v>
      </c>
      <c r="R26" s="18">
        <f t="shared" ref="R26:R36" si="16">R11/$R$18</f>
        <v>1.3248464419966181E-2</v>
      </c>
      <c r="S26" s="19">
        <f t="shared" ref="S26:S36" si="17">S11/$S$18</f>
        <v>0.17451348737403355</v>
      </c>
      <c r="T26" s="19">
        <f t="shared" ref="T26:T36" si="18">T11/$T$18</f>
        <v>0.63706048005563887</v>
      </c>
      <c r="U26" s="16">
        <f t="shared" ref="U26:U36" si="19">U11/$U$18</f>
        <v>1.0663367899043337</v>
      </c>
      <c r="V26" s="9"/>
      <c r="W26" s="9"/>
    </row>
    <row r="27" spans="1:23" x14ac:dyDescent="0.2">
      <c r="A27" s="20" t="s">
        <v>40</v>
      </c>
      <c r="B27" s="22">
        <f t="shared" ref="B27:B36" si="20">B12/$B$18</f>
        <v>1.899412770910117E-2</v>
      </c>
      <c r="C27" s="9">
        <f t="shared" si="1"/>
        <v>3.9599713643889162E-3</v>
      </c>
      <c r="D27" s="9">
        <f t="shared" si="2"/>
        <v>4.9922580210348035E-3</v>
      </c>
      <c r="E27" s="17">
        <f t="shared" si="3"/>
        <v>6.532090850592245E-3</v>
      </c>
      <c r="F27" s="9">
        <f t="shared" si="4"/>
        <v>1.6228460084076857E-2</v>
      </c>
      <c r="G27" s="9">
        <f t="shared" si="5"/>
        <v>2.2056305569781143E-3</v>
      </c>
      <c r="H27" s="9">
        <f t="shared" si="6"/>
        <v>5.7887069477313468E-3</v>
      </c>
      <c r="I27" s="9">
        <f t="shared" si="7"/>
        <v>6.0657827624385607E-3</v>
      </c>
      <c r="J27" s="22">
        <f t="shared" si="8"/>
        <v>1.3271051887247117E-2</v>
      </c>
      <c r="K27" s="9">
        <f t="shared" si="9"/>
        <v>2.7935166228392466E-3</v>
      </c>
      <c r="L27" s="9">
        <f t="shared" si="10"/>
        <v>5.1584024313699583E-3</v>
      </c>
      <c r="M27" s="32">
        <f t="shared" si="11"/>
        <v>1.3034443406972367E-2</v>
      </c>
      <c r="N27" s="9">
        <f t="shared" si="12"/>
        <v>1.5187772813840757E-2</v>
      </c>
      <c r="O27" s="33">
        <f t="shared" si="13"/>
        <v>3.1096181211654654E-3</v>
      </c>
      <c r="P27" s="9">
        <f t="shared" si="14"/>
        <v>7.8470111380000516E-3</v>
      </c>
      <c r="Q27" s="9">
        <f t="shared" si="15"/>
        <v>7.8913347803383858E-3</v>
      </c>
      <c r="R27" s="22">
        <f t="shared" si="16"/>
        <v>1.34927443310094E-2</v>
      </c>
      <c r="S27" s="9">
        <f t="shared" si="17"/>
        <v>2.5513431613274139E-3</v>
      </c>
      <c r="T27" s="9">
        <f t="shared" si="18"/>
        <v>1.3724774103107252E-2</v>
      </c>
      <c r="U27" s="17">
        <f t="shared" si="19"/>
        <v>9.8382984108731208E-3</v>
      </c>
      <c r="V27" s="9"/>
      <c r="W27" s="9"/>
    </row>
    <row r="28" spans="1:23" x14ac:dyDescent="0.2">
      <c r="A28" s="20" t="s">
        <v>41</v>
      </c>
      <c r="B28" s="22">
        <f t="shared" si="20"/>
        <v>1.2113142998218915E-3</v>
      </c>
      <c r="C28" s="9">
        <f t="shared" si="1"/>
        <v>2.5346762940070686E-2</v>
      </c>
      <c r="D28" s="9">
        <f t="shared" si="2"/>
        <v>5.4813934534061949E-2</v>
      </c>
      <c r="E28" s="17">
        <f t="shared" si="3"/>
        <v>0.24641712147572631</v>
      </c>
      <c r="F28" s="33">
        <f t="shared" si="4"/>
        <v>4.5045513042302086E-3</v>
      </c>
      <c r="G28" s="33">
        <f t="shared" si="5"/>
        <v>1.8958319193439911E-2</v>
      </c>
      <c r="H28" s="9">
        <f t="shared" si="6"/>
        <v>0.10878640102920714</v>
      </c>
      <c r="I28" s="9">
        <f t="shared" si="7"/>
        <v>0.17040322517646614</v>
      </c>
      <c r="J28" s="22">
        <f t="shared" si="8"/>
        <v>1.388296334219795E-2</v>
      </c>
      <c r="K28" s="9">
        <f t="shared" si="9"/>
        <v>4.7038221515643075E-2</v>
      </c>
      <c r="L28" s="9">
        <f t="shared" si="10"/>
        <v>0.24306493838987811</v>
      </c>
      <c r="M28" s="17">
        <f t="shared" si="11"/>
        <v>0.29436735161093158</v>
      </c>
      <c r="N28" s="9">
        <f t="shared" si="12"/>
        <v>3.2420627322880566E-3</v>
      </c>
      <c r="O28" s="9">
        <f t="shared" si="13"/>
        <v>3.0064890630710491E-2</v>
      </c>
      <c r="P28" s="9">
        <f t="shared" si="14"/>
        <v>0.16492078352479006</v>
      </c>
      <c r="Q28" s="9">
        <f t="shared" si="15"/>
        <v>0.23297512767910405</v>
      </c>
      <c r="R28" s="22">
        <f t="shared" si="16"/>
        <v>1.3331213991781797E-3</v>
      </c>
      <c r="S28" s="9">
        <f t="shared" si="17"/>
        <v>6.2402058148858155E-3</v>
      </c>
      <c r="T28" s="9">
        <f t="shared" si="18"/>
        <v>1.1267095083555265E-2</v>
      </c>
      <c r="U28" s="17">
        <f t="shared" si="19"/>
        <v>2.4114621498444622E-2</v>
      </c>
      <c r="V28" s="9"/>
      <c r="W28" s="9"/>
    </row>
    <row r="29" spans="1:23" x14ac:dyDescent="0.2">
      <c r="A29" s="20" t="s">
        <v>42</v>
      </c>
      <c r="B29" s="22">
        <f t="shared" si="20"/>
        <v>4.1731884952475005E-2</v>
      </c>
      <c r="C29" s="9">
        <f t="shared" si="1"/>
        <v>8.6226515948359478E-2</v>
      </c>
      <c r="D29" s="9">
        <f t="shared" si="2"/>
        <v>1.884709720053163E-2</v>
      </c>
      <c r="E29" s="17">
        <f t="shared" si="3"/>
        <v>1.5616768750446864E-2</v>
      </c>
      <c r="F29" s="9">
        <f t="shared" si="4"/>
        <v>2.90332729890606E-2</v>
      </c>
      <c r="G29" s="9">
        <f t="shared" si="5"/>
        <v>2.5188420507061719E-2</v>
      </c>
      <c r="H29" s="9">
        <f t="shared" si="6"/>
        <v>2.5784414696760634E-2</v>
      </c>
      <c r="I29" s="9">
        <f t="shared" si="7"/>
        <v>2.6688605813098974E-2</v>
      </c>
      <c r="J29" s="22">
        <f t="shared" si="8"/>
        <v>2.4944181350171367E-2</v>
      </c>
      <c r="K29" s="9">
        <f t="shared" si="9"/>
        <v>8.0926869058457612E-2</v>
      </c>
      <c r="L29" s="9">
        <f t="shared" si="10"/>
        <v>9.8322445574972744E-2</v>
      </c>
      <c r="M29" s="17">
        <f t="shared" si="11"/>
        <v>9.3143357994833087E-2</v>
      </c>
      <c r="N29" s="9">
        <f t="shared" si="12"/>
        <v>2.910741135540601E-2</v>
      </c>
      <c r="O29" s="9">
        <f t="shared" si="13"/>
        <v>8.8155418698143875E-2</v>
      </c>
      <c r="P29" s="9">
        <f t="shared" si="14"/>
        <v>9.7136583416203334E-2</v>
      </c>
      <c r="Q29" s="9">
        <f t="shared" si="15"/>
        <v>7.7559569944941412E-2</v>
      </c>
      <c r="R29" s="22">
        <f t="shared" si="16"/>
        <v>2.5220561343726043E-2</v>
      </c>
      <c r="S29" s="9">
        <f t="shared" si="17"/>
        <v>9.6901047725441711E-2</v>
      </c>
      <c r="T29" s="33">
        <f t="shared" si="18"/>
        <v>0.10649172675188949</v>
      </c>
      <c r="U29" s="17">
        <f t="shared" si="19"/>
        <v>0.10816484047016033</v>
      </c>
      <c r="V29" s="9"/>
      <c r="W29" s="9"/>
    </row>
    <row r="30" spans="1:23" x14ac:dyDescent="0.2">
      <c r="A30" s="20" t="s">
        <v>43</v>
      </c>
      <c r="B30" s="22">
        <f t="shared" si="20"/>
        <v>6.3073341915460173E-3</v>
      </c>
      <c r="C30" s="9">
        <f t="shared" si="1"/>
        <v>1.5002129304859444E-2</v>
      </c>
      <c r="D30" s="9">
        <f t="shared" si="2"/>
        <v>6.5004827194802967E-3</v>
      </c>
      <c r="E30" s="17">
        <f t="shared" si="3"/>
        <v>8.7386258013775354E-3</v>
      </c>
      <c r="F30" s="9">
        <f t="shared" si="4"/>
        <v>7.1789754934295964E-3</v>
      </c>
      <c r="G30" s="9">
        <f t="shared" si="5"/>
        <v>1.2862418322833819E-2</v>
      </c>
      <c r="H30" s="9">
        <f t="shared" si="6"/>
        <v>2.1483027141100362E-2</v>
      </c>
      <c r="I30" s="33">
        <f t="shared" si="7"/>
        <v>1.6571918184716004E-2</v>
      </c>
      <c r="J30" s="34">
        <f t="shared" si="8"/>
        <v>1.3044103448984204E-2</v>
      </c>
      <c r="K30" s="9">
        <f t="shared" si="9"/>
        <v>1.3023637537222497E-2</v>
      </c>
      <c r="L30" s="9">
        <f t="shared" si="10"/>
        <v>1.1199869512074263E-2</v>
      </c>
      <c r="M30" s="17">
        <f t="shared" si="11"/>
        <v>1.2691426650004379E-2</v>
      </c>
      <c r="N30" s="9">
        <f t="shared" si="12"/>
        <v>7.6118659878546017E-3</v>
      </c>
      <c r="O30" s="9">
        <f t="shared" si="13"/>
        <v>1.8347057954448253E-2</v>
      </c>
      <c r="P30" s="9">
        <f t="shared" si="14"/>
        <v>6.9876736412053395E-3</v>
      </c>
      <c r="Q30" s="9">
        <f t="shared" si="15"/>
        <v>1.2775348746565347E-2</v>
      </c>
      <c r="R30" s="22">
        <f t="shared" si="16"/>
        <v>8.5212214948065211E-3</v>
      </c>
      <c r="S30" s="9">
        <f t="shared" si="17"/>
        <v>5.289773284443325E-3</v>
      </c>
      <c r="T30" s="9">
        <f t="shared" si="18"/>
        <v>1.8897640240035582E-2</v>
      </c>
      <c r="U30" s="17">
        <f t="shared" si="19"/>
        <v>1.4846602618286131E-2</v>
      </c>
      <c r="V30" s="9"/>
      <c r="W30" s="9"/>
    </row>
    <row r="31" spans="1:23" x14ac:dyDescent="0.2">
      <c r="A31" s="20" t="s">
        <v>44</v>
      </c>
      <c r="B31" s="22">
        <f t="shared" si="20"/>
        <v>6.0105454353078106E-3</v>
      </c>
      <c r="C31" s="9">
        <f t="shared" si="1"/>
        <v>4.4623380876967503E-2</v>
      </c>
      <c r="D31" s="9">
        <f t="shared" si="2"/>
        <v>2.1413478030504519E-2</v>
      </c>
      <c r="E31" s="17">
        <f t="shared" si="3"/>
        <v>2.9896613360661597E-2</v>
      </c>
      <c r="F31" s="9">
        <f t="shared" si="4"/>
        <v>4.3012691900178096E-3</v>
      </c>
      <c r="G31" s="9">
        <f t="shared" si="5"/>
        <v>2.3106192656304952E-2</v>
      </c>
      <c r="H31" s="9">
        <f t="shared" si="6"/>
        <v>2.2902308134632052E-2</v>
      </c>
      <c r="I31" s="9">
        <f t="shared" si="7"/>
        <v>1.3145196769259994E-2</v>
      </c>
      <c r="J31" s="22">
        <f t="shared" si="8"/>
        <v>8.0119316808168715E-3</v>
      </c>
      <c r="K31" s="9">
        <f t="shared" si="9"/>
        <v>5.2556509642802673E-2</v>
      </c>
      <c r="L31" s="9">
        <f t="shared" si="10"/>
        <v>2.9553656965412442E-2</v>
      </c>
      <c r="M31" s="17">
        <f t="shared" si="11"/>
        <v>4.4057930773649737E-2</v>
      </c>
      <c r="N31" s="33">
        <f t="shared" si="12"/>
        <v>2.9582148800924532E-3</v>
      </c>
      <c r="O31" s="33">
        <f t="shared" si="13"/>
        <v>2.1903601060644942E-2</v>
      </c>
      <c r="P31" s="9">
        <f t="shared" si="14"/>
        <v>2.2295799611890807E-2</v>
      </c>
      <c r="Q31" s="9">
        <f t="shared" si="15"/>
        <v>3.0000126451777985E-2</v>
      </c>
      <c r="R31" s="22">
        <f t="shared" si="16"/>
        <v>2.5162219918992731E-3</v>
      </c>
      <c r="S31" s="9">
        <f t="shared" si="17"/>
        <v>3.2755408312967839E-2</v>
      </c>
      <c r="T31" s="9">
        <f t="shared" si="18"/>
        <v>3.5959152656699599E-2</v>
      </c>
      <c r="U31" s="17">
        <f t="shared" si="19"/>
        <v>1.0961280363478987E-2</v>
      </c>
      <c r="V31" s="9"/>
      <c r="W31" s="9"/>
    </row>
    <row r="32" spans="1:23" x14ac:dyDescent="0.2">
      <c r="A32" s="20" t="s">
        <v>45</v>
      </c>
      <c r="B32" s="22">
        <f t="shared" si="20"/>
        <v>4.1943675383991396E-3</v>
      </c>
      <c r="C32" s="33">
        <f t="shared" si="1"/>
        <v>8.6784956279421423E-3</v>
      </c>
      <c r="D32" s="9">
        <f t="shared" si="2"/>
        <v>1.073805723828865E-2</v>
      </c>
      <c r="E32" s="17">
        <f t="shared" si="3"/>
        <v>8.9861054839247834E-3</v>
      </c>
      <c r="F32" s="9">
        <f t="shared" si="4"/>
        <v>5.9490892980886192E-3</v>
      </c>
      <c r="G32" s="9">
        <f t="shared" si="5"/>
        <v>1.2251767743766621E-2</v>
      </c>
      <c r="H32" s="9">
        <f t="shared" si="6"/>
        <v>2.5757199337344876E-2</v>
      </c>
      <c r="I32" s="33">
        <f t="shared" si="7"/>
        <v>3.6810628342768173E-2</v>
      </c>
      <c r="J32" s="22">
        <f t="shared" si="8"/>
        <v>4.168424578851645E-3</v>
      </c>
      <c r="K32" s="33">
        <f t="shared" si="9"/>
        <v>1.4414715229604845E-2</v>
      </c>
      <c r="L32" s="9">
        <f t="shared" si="10"/>
        <v>2.0637945558455287E-2</v>
      </c>
      <c r="M32" s="17">
        <f t="shared" si="11"/>
        <v>2.355001460818263E-2</v>
      </c>
      <c r="N32" s="9">
        <f t="shared" si="12"/>
        <v>6.4950279764192055E-3</v>
      </c>
      <c r="O32" s="9">
        <f t="shared" si="13"/>
        <v>9.4954549342540096E-3</v>
      </c>
      <c r="P32" s="9">
        <f t="shared" si="14"/>
        <v>1.7014183630348609E-2</v>
      </c>
      <c r="Q32" s="33">
        <f t="shared" si="15"/>
        <v>2.3589393224862504E-2</v>
      </c>
      <c r="R32" s="22">
        <f t="shared" si="16"/>
        <v>2.313812967314316E-3</v>
      </c>
      <c r="S32" s="9">
        <f t="shared" si="17"/>
        <v>1.2321974161617755E-2</v>
      </c>
      <c r="T32" s="9">
        <f t="shared" si="18"/>
        <v>1.3256524638110887E-2</v>
      </c>
      <c r="U32" s="17">
        <f t="shared" si="19"/>
        <v>1.5896151316252029E-2</v>
      </c>
      <c r="V32" s="9"/>
      <c r="W32" s="9"/>
    </row>
    <row r="33" spans="1:23" x14ac:dyDescent="0.2">
      <c r="A33" s="20" t="s">
        <v>46</v>
      </c>
      <c r="B33" s="35">
        <f t="shared" si="20"/>
        <v>1</v>
      </c>
      <c r="C33" s="9">
        <f t="shared" si="1"/>
        <v>1</v>
      </c>
      <c r="D33" s="9">
        <f t="shared" si="2"/>
        <v>1</v>
      </c>
      <c r="E33" s="17">
        <f t="shared" si="3"/>
        <v>1</v>
      </c>
      <c r="F33" s="9">
        <f t="shared" si="4"/>
        <v>1</v>
      </c>
      <c r="G33" s="9">
        <f t="shared" si="5"/>
        <v>1</v>
      </c>
      <c r="H33" s="36">
        <f t="shared" si="6"/>
        <v>1</v>
      </c>
      <c r="I33" s="9">
        <f t="shared" si="7"/>
        <v>1</v>
      </c>
      <c r="J33" s="22">
        <f t="shared" si="8"/>
        <v>1</v>
      </c>
      <c r="K33" s="36">
        <f t="shared" si="9"/>
        <v>1</v>
      </c>
      <c r="L33" s="9">
        <f t="shared" si="10"/>
        <v>1</v>
      </c>
      <c r="M33" s="17">
        <f t="shared" si="11"/>
        <v>1</v>
      </c>
      <c r="N33" s="9">
        <f t="shared" si="12"/>
        <v>1</v>
      </c>
      <c r="O33" s="9">
        <f t="shared" si="13"/>
        <v>1</v>
      </c>
      <c r="P33" s="9">
        <f t="shared" si="14"/>
        <v>1</v>
      </c>
      <c r="Q33" s="9">
        <f t="shared" si="15"/>
        <v>1</v>
      </c>
      <c r="R33" s="22">
        <f t="shared" si="16"/>
        <v>1</v>
      </c>
      <c r="S33" s="9">
        <f t="shared" si="17"/>
        <v>1</v>
      </c>
      <c r="T33" s="9">
        <f t="shared" si="18"/>
        <v>1</v>
      </c>
      <c r="U33" s="17">
        <f t="shared" si="19"/>
        <v>1</v>
      </c>
      <c r="V33" s="9"/>
      <c r="W33" s="9"/>
    </row>
    <row r="34" spans="1:23" x14ac:dyDescent="0.2">
      <c r="A34" s="20" t="s">
        <v>47</v>
      </c>
      <c r="B34" s="22">
        <f t="shared" si="20"/>
        <v>0.10411324880526214</v>
      </c>
      <c r="C34" s="9">
        <f t="shared" si="1"/>
        <v>0.12633473743738829</v>
      </c>
      <c r="D34" s="9">
        <f t="shared" si="2"/>
        <v>0.15594514113476299</v>
      </c>
      <c r="E34" s="17">
        <f t="shared" si="3"/>
        <v>0.15107490645630259</v>
      </c>
      <c r="F34" s="9">
        <f t="shared" si="4"/>
        <v>0.11213782409726177</v>
      </c>
      <c r="G34" s="9">
        <f t="shared" si="5"/>
        <v>0.13287829870859069</v>
      </c>
      <c r="H34" s="9">
        <f t="shared" si="6"/>
        <v>0.17387912570269087</v>
      </c>
      <c r="I34" s="9">
        <f t="shared" si="7"/>
        <v>0.13873124996546604</v>
      </c>
      <c r="J34" s="22">
        <f t="shared" si="8"/>
        <v>0.10861981376401787</v>
      </c>
      <c r="K34" s="9">
        <f t="shared" si="9"/>
        <v>0.12784396822242455</v>
      </c>
      <c r="L34" s="9">
        <f t="shared" si="10"/>
        <v>0.14356211390439694</v>
      </c>
      <c r="M34" s="17">
        <f t="shared" si="11"/>
        <v>0.14701110395902051</v>
      </c>
      <c r="N34" s="33">
        <f t="shared" si="12"/>
        <v>0.11293663364480726</v>
      </c>
      <c r="O34" s="33">
        <f t="shared" si="13"/>
        <v>0.14397846828562763</v>
      </c>
      <c r="P34" s="9">
        <f t="shared" si="14"/>
        <v>0.14387992335649036</v>
      </c>
      <c r="Q34" s="9">
        <f t="shared" si="15"/>
        <v>0.13342466374984566</v>
      </c>
      <c r="R34" s="22">
        <f t="shared" si="16"/>
        <v>9.6278829147137673E-2</v>
      </c>
      <c r="S34" s="9">
        <f t="shared" si="17"/>
        <v>0.14295116703423902</v>
      </c>
      <c r="T34" s="9">
        <f t="shared" si="18"/>
        <v>0.13898451380841087</v>
      </c>
      <c r="U34" s="17">
        <f t="shared" si="19"/>
        <v>0.13588257397619199</v>
      </c>
      <c r="V34" s="9"/>
      <c r="W34" s="9"/>
    </row>
    <row r="35" spans="1:23" x14ac:dyDescent="0.2">
      <c r="A35" s="20" t="s">
        <v>48</v>
      </c>
      <c r="B35" s="34">
        <f t="shared" si="20"/>
        <v>3.640644012203079E-3</v>
      </c>
      <c r="C35" s="9">
        <f t="shared" si="1"/>
        <v>4.8713827166256812E-3</v>
      </c>
      <c r="D35" s="9">
        <f t="shared" si="2"/>
        <v>7.6433598798903313E-3</v>
      </c>
      <c r="E35" s="17">
        <f t="shared" si="3"/>
        <v>1.1636311637550942E-2</v>
      </c>
      <c r="F35" s="33">
        <f t="shared" si="4"/>
        <v>3.3252406011426532E-3</v>
      </c>
      <c r="G35" s="9">
        <f t="shared" si="5"/>
        <v>5.9375983365315202E-3</v>
      </c>
      <c r="H35" s="9">
        <f t="shared" si="6"/>
        <v>3.28882066905462E-2</v>
      </c>
      <c r="I35" s="9">
        <f t="shared" si="7"/>
        <v>3.0251176679164944E-2</v>
      </c>
      <c r="J35" s="22">
        <f t="shared" si="8"/>
        <v>2.5949944141846525E-3</v>
      </c>
      <c r="K35" s="9">
        <f t="shared" si="9"/>
        <v>4.4838377723038433E-3</v>
      </c>
      <c r="L35" s="9">
        <f t="shared" si="10"/>
        <v>7.004641405966106E-3</v>
      </c>
      <c r="M35" s="17">
        <f t="shared" si="11"/>
        <v>6.1288625398051222E-3</v>
      </c>
      <c r="N35" s="9">
        <f t="shared" si="12"/>
        <v>2.5353121838630199E-3</v>
      </c>
      <c r="O35" s="9">
        <f t="shared" si="13"/>
        <v>5.1261265464498723E-3</v>
      </c>
      <c r="P35" s="9">
        <f t="shared" si="14"/>
        <v>7.0426075719920806E-3</v>
      </c>
      <c r="Q35" s="9">
        <f t="shared" si="15"/>
        <v>5.1623938362940405E-3</v>
      </c>
      <c r="R35" s="22">
        <f t="shared" si="16"/>
        <v>2.0463155505098824E-3</v>
      </c>
      <c r="S35" s="9">
        <f t="shared" si="17"/>
        <v>5.0307741708471212E-3</v>
      </c>
      <c r="T35" s="9">
        <f t="shared" si="18"/>
        <v>6.380650915269551E-3</v>
      </c>
      <c r="U35" s="17">
        <f t="shared" si="19"/>
        <v>4.7796064914997103E-3</v>
      </c>
      <c r="V35" s="9"/>
      <c r="W35" s="9"/>
    </row>
    <row r="36" spans="1:23" x14ac:dyDescent="0.2">
      <c r="A36" s="26" t="s">
        <v>49</v>
      </c>
      <c r="B36" s="27">
        <f t="shared" si="20"/>
        <v>4.5870880138254534E-3</v>
      </c>
      <c r="C36" s="28">
        <f t="shared" si="1"/>
        <v>9.5367221867444368E-3</v>
      </c>
      <c r="D36" s="28">
        <f t="shared" si="2"/>
        <v>1.755267410980569E-2</v>
      </c>
      <c r="E36" s="29">
        <f t="shared" si="3"/>
        <v>2.1390786243714103E-2</v>
      </c>
      <c r="F36" s="28">
        <f t="shared" si="4"/>
        <v>4.1901207244841249E-3</v>
      </c>
      <c r="G36" s="28">
        <f t="shared" si="5"/>
        <v>1.5706272251050465E-2</v>
      </c>
      <c r="H36" s="28">
        <f t="shared" si="6"/>
        <v>2.0437957339535327E-2</v>
      </c>
      <c r="I36" s="28">
        <f t="shared" si="7"/>
        <v>1.0934261250497051E-2</v>
      </c>
      <c r="J36" s="27">
        <f t="shared" si="8"/>
        <v>4.357054481846495E-3</v>
      </c>
      <c r="K36" s="28">
        <f t="shared" si="9"/>
        <v>1.0188334665871766E-2</v>
      </c>
      <c r="L36" s="28">
        <f t="shared" si="10"/>
        <v>1.1601450232896172E-2</v>
      </c>
      <c r="M36" s="29">
        <f t="shared" si="11"/>
        <v>1.1376786892041954E-2</v>
      </c>
      <c r="N36" s="28">
        <f t="shared" si="12"/>
        <v>4.2605868649980214E-3</v>
      </c>
      <c r="O36" s="28">
        <f t="shared" si="13"/>
        <v>5.1947496520244789E-3</v>
      </c>
      <c r="P36" s="28">
        <f t="shared" si="14"/>
        <v>1.5189717144608041E-2</v>
      </c>
      <c r="Q36" s="28">
        <f t="shared" si="15"/>
        <v>1.3932010598146664E-2</v>
      </c>
      <c r="R36" s="37">
        <f t="shared" si="16"/>
        <v>3.5570409467503531E-3</v>
      </c>
      <c r="S36" s="28">
        <f t="shared" si="17"/>
        <v>1.6917622130484023E-2</v>
      </c>
      <c r="T36" s="28">
        <f t="shared" si="18"/>
        <v>1.9950570864598477E-2</v>
      </c>
      <c r="U36" s="29">
        <f t="shared" si="19"/>
        <v>2.0537289250465208E-2</v>
      </c>
      <c r="V36" s="9"/>
      <c r="W36" s="9"/>
    </row>
    <row r="37" spans="1:23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 spans="1:23" x14ac:dyDescent="0.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 spans="1:23" ht="16" x14ac:dyDescent="0.2">
      <c r="A39" s="9"/>
      <c r="B39" s="124" t="s">
        <v>51</v>
      </c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9"/>
      <c r="W39" s="9"/>
    </row>
    <row r="40" spans="1:23" ht="16" x14ac:dyDescent="0.2">
      <c r="A40" s="9"/>
      <c r="B40" s="13" t="str">
        <f t="shared" ref="B40:U40" si="21">B10</f>
        <v>A_0h</v>
      </c>
      <c r="C40" s="13" t="str">
        <f t="shared" si="21"/>
        <v>A_12h</v>
      </c>
      <c r="D40" s="13" t="str">
        <f t="shared" si="21"/>
        <v>A_24h</v>
      </c>
      <c r="E40" s="13" t="str">
        <f t="shared" si="21"/>
        <v>A_48h</v>
      </c>
      <c r="F40" s="13" t="str">
        <f t="shared" si="21"/>
        <v>B_0h</v>
      </c>
      <c r="G40" s="13" t="str">
        <f t="shared" si="21"/>
        <v>B_12h</v>
      </c>
      <c r="H40" s="13" t="str">
        <f t="shared" si="21"/>
        <v>B_24h</v>
      </c>
      <c r="I40" s="13" t="str">
        <f t="shared" si="21"/>
        <v>B_48h</v>
      </c>
      <c r="J40" s="13" t="str">
        <f t="shared" si="21"/>
        <v>C_0h</v>
      </c>
      <c r="K40" s="13" t="str">
        <f t="shared" si="21"/>
        <v>C_12h</v>
      </c>
      <c r="L40" s="13" t="str">
        <f t="shared" si="21"/>
        <v>C_24h</v>
      </c>
      <c r="M40" s="13" t="str">
        <f t="shared" si="21"/>
        <v>C_48h</v>
      </c>
      <c r="N40" s="13" t="str">
        <f t="shared" si="21"/>
        <v>D_0h</v>
      </c>
      <c r="O40" s="13" t="str">
        <f t="shared" si="21"/>
        <v>D_12h</v>
      </c>
      <c r="P40" s="13" t="str">
        <f t="shared" si="21"/>
        <v>D_24h</v>
      </c>
      <c r="Q40" s="13" t="str">
        <f t="shared" si="21"/>
        <v>D_48h</v>
      </c>
      <c r="R40" s="13" t="str">
        <f t="shared" si="21"/>
        <v>E_0h</v>
      </c>
      <c r="S40" s="13" t="str">
        <f t="shared" si="21"/>
        <v>E_12h</v>
      </c>
      <c r="T40" s="13" t="str">
        <f t="shared" si="21"/>
        <v>E_24h</v>
      </c>
      <c r="U40" s="13" t="str">
        <f t="shared" si="21"/>
        <v>E_48h</v>
      </c>
      <c r="V40" s="9"/>
      <c r="W40" s="9"/>
    </row>
    <row r="41" spans="1:23" x14ac:dyDescent="0.2">
      <c r="A41" s="15" t="s">
        <v>39</v>
      </c>
      <c r="B41" s="38">
        <f>(B26-$E53)/$C53</f>
        <v>4.1839381969304208</v>
      </c>
      <c r="C41" s="39">
        <f t="shared" ref="C41:U41" si="22">(C26-$E53)/$C53</f>
        <v>4.2583878286153842</v>
      </c>
      <c r="D41" s="39">
        <f t="shared" si="22"/>
        <v>42.514392955212699</v>
      </c>
      <c r="E41" s="40">
        <f t="shared" si="22"/>
        <v>239.19024987355382</v>
      </c>
      <c r="F41" s="39">
        <f t="shared" si="22"/>
        <v>4.4343037260873164</v>
      </c>
      <c r="G41" s="39">
        <f t="shared" si="22"/>
        <v>11.658815940750246</v>
      </c>
      <c r="H41" s="39">
        <f t="shared" si="22"/>
        <v>177.11953542042309</v>
      </c>
      <c r="I41" s="40">
        <f t="shared" si="22"/>
        <v>306.3089677753544</v>
      </c>
      <c r="J41" s="39">
        <f t="shared" si="22"/>
        <v>3.3554685860873086</v>
      </c>
      <c r="K41" s="39">
        <f t="shared" si="22"/>
        <v>32.295494676436221</v>
      </c>
      <c r="L41" s="39">
        <f t="shared" si="22"/>
        <v>134.03686421547576</v>
      </c>
      <c r="M41" s="40">
        <f t="shared" si="22"/>
        <v>157.68177569436887</v>
      </c>
      <c r="N41" s="38">
        <f t="shared" si="22"/>
        <v>4.015036003685772</v>
      </c>
      <c r="O41" s="39">
        <f t="shared" si="22"/>
        <v>14.837437975685345</v>
      </c>
      <c r="P41" s="39">
        <f t="shared" si="22"/>
        <v>150.23539653595304</v>
      </c>
      <c r="Q41" s="40">
        <f t="shared" si="22"/>
        <v>228.86584743270657</v>
      </c>
      <c r="R41" s="39">
        <f t="shared" si="22"/>
        <v>3.3190178944350506</v>
      </c>
      <c r="S41" s="39">
        <f t="shared" si="22"/>
        <v>48.114857603898209</v>
      </c>
      <c r="T41" s="39">
        <f t="shared" si="22"/>
        <v>176.60013334878857</v>
      </c>
      <c r="U41" s="40">
        <f t="shared" si="22"/>
        <v>295.84355275120379</v>
      </c>
      <c r="V41" s="9"/>
      <c r="W41" s="9"/>
    </row>
    <row r="42" spans="1:23" x14ac:dyDescent="0.2">
      <c r="A42" s="20" t="s">
        <v>40</v>
      </c>
      <c r="B42" s="41">
        <f t="shared" ref="B42:U47" si="23">(B27-$E54)/$C54</f>
        <v>3.6237766060627439</v>
      </c>
      <c r="C42" s="42">
        <f t="shared" si="23"/>
        <v>0.4916607009143576</v>
      </c>
      <c r="D42" s="42">
        <f t="shared" si="23"/>
        <v>0.70672042104891752</v>
      </c>
      <c r="E42" s="43">
        <f t="shared" si="23"/>
        <v>1.0275189272067178</v>
      </c>
      <c r="F42" s="42">
        <f t="shared" si="23"/>
        <v>3.0475958508493455</v>
      </c>
      <c r="G42" s="42">
        <f t="shared" si="23"/>
        <v>0.12617303270377381</v>
      </c>
      <c r="H42" s="42">
        <f t="shared" si="23"/>
        <v>0.87264728077736398</v>
      </c>
      <c r="I42" s="43">
        <f t="shared" si="23"/>
        <v>0.93037140884136693</v>
      </c>
      <c r="J42" s="42">
        <f t="shared" si="23"/>
        <v>2.4314691431764826</v>
      </c>
      <c r="K42" s="42">
        <f t="shared" si="23"/>
        <v>0.24864929642484304</v>
      </c>
      <c r="L42" s="42">
        <f t="shared" si="23"/>
        <v>0.74133383986874135</v>
      </c>
      <c r="M42" s="43">
        <f t="shared" si="23"/>
        <v>2.3821757097859098</v>
      </c>
      <c r="N42" s="41">
        <f t="shared" si="23"/>
        <v>2.830786002883491</v>
      </c>
      <c r="O42" s="42">
        <f t="shared" si="23"/>
        <v>0.31450377524280532</v>
      </c>
      <c r="P42" s="42">
        <f t="shared" si="23"/>
        <v>1.3014606537500109</v>
      </c>
      <c r="Q42" s="43">
        <f t="shared" si="23"/>
        <v>1.3106947459038305</v>
      </c>
      <c r="R42" s="42">
        <f t="shared" si="23"/>
        <v>2.4776550689602916</v>
      </c>
      <c r="S42" s="42">
        <f t="shared" si="23"/>
        <v>0.19819649194321123</v>
      </c>
      <c r="T42" s="42">
        <f t="shared" si="23"/>
        <v>2.5259946048140112</v>
      </c>
      <c r="U42" s="43">
        <f t="shared" si="23"/>
        <v>1.7163121689319001</v>
      </c>
      <c r="V42" s="9"/>
      <c r="W42" s="9"/>
    </row>
    <row r="43" spans="1:23" x14ac:dyDescent="0.2">
      <c r="A43" s="20" t="s">
        <v>41</v>
      </c>
      <c r="B43" s="41">
        <f t="shared" si="23"/>
        <v>4.1904814155154088E-3</v>
      </c>
      <c r="C43" s="42">
        <f t="shared" si="23"/>
        <v>8.9432455333595122</v>
      </c>
      <c r="D43" s="42">
        <f t="shared" si="23"/>
        <v>19.857012790393313</v>
      </c>
      <c r="E43" s="43">
        <f t="shared" si="23"/>
        <v>90.821156102120852</v>
      </c>
      <c r="F43" s="42">
        <f t="shared" si="23"/>
        <v>1.2239078904556329</v>
      </c>
      <c r="G43" s="42">
        <f t="shared" si="23"/>
        <v>6.5771552568295961</v>
      </c>
      <c r="H43" s="42">
        <f t="shared" si="23"/>
        <v>39.846815196002638</v>
      </c>
      <c r="I43" s="43">
        <f t="shared" si="23"/>
        <v>62.667861176468932</v>
      </c>
      <c r="J43" s="42">
        <f t="shared" si="23"/>
        <v>4.6973938304436853</v>
      </c>
      <c r="K43" s="42">
        <f t="shared" si="23"/>
        <v>16.977119079867805</v>
      </c>
      <c r="L43" s="42">
        <f t="shared" si="23"/>
        <v>89.579606811065958</v>
      </c>
      <c r="M43" s="43">
        <f t="shared" si="23"/>
        <v>108.58050059664133</v>
      </c>
      <c r="N43" s="41">
        <f t="shared" si="23"/>
        <v>0.75631953047705791</v>
      </c>
      <c r="O43" s="42">
        <f t="shared" si="23"/>
        <v>10.690700233596477</v>
      </c>
      <c r="P43" s="42">
        <f t="shared" si="23"/>
        <v>60.637327231403724</v>
      </c>
      <c r="Q43" s="43">
        <f t="shared" si="23"/>
        <v>85.842639881149637</v>
      </c>
      <c r="R43" s="42">
        <f t="shared" si="23"/>
        <v>4.9304221917844372E-2</v>
      </c>
      <c r="S43" s="42">
        <f t="shared" si="23"/>
        <v>1.8667428944021538</v>
      </c>
      <c r="T43" s="42">
        <f t="shared" si="23"/>
        <v>3.7285537346500979</v>
      </c>
      <c r="U43" s="43">
        <f t="shared" si="23"/>
        <v>8.4868968512757856</v>
      </c>
      <c r="V43" s="9"/>
      <c r="W43" s="9"/>
    </row>
    <row r="44" spans="1:23" x14ac:dyDescent="0.2">
      <c r="A44" s="20" t="s">
        <v>42</v>
      </c>
      <c r="B44" s="41">
        <f t="shared" si="23"/>
        <v>15.641438871287038</v>
      </c>
      <c r="C44" s="42">
        <f t="shared" si="23"/>
        <v>32.120931832725731</v>
      </c>
      <c r="D44" s="42">
        <f t="shared" si="23"/>
        <v>7.1655915557524557</v>
      </c>
      <c r="E44" s="43">
        <f t="shared" si="23"/>
        <v>5.9691736112766165</v>
      </c>
      <c r="F44" s="42">
        <f t="shared" si="23"/>
        <v>10.938249255207628</v>
      </c>
      <c r="G44" s="42">
        <f t="shared" si="23"/>
        <v>9.514229817430266</v>
      </c>
      <c r="H44" s="42">
        <f t="shared" si="23"/>
        <v>9.734968406207642</v>
      </c>
      <c r="I44" s="43">
        <f t="shared" si="23"/>
        <v>10.069854004851472</v>
      </c>
      <c r="J44" s="42">
        <f t="shared" si="23"/>
        <v>9.4237708704338399</v>
      </c>
      <c r="K44" s="42">
        <f t="shared" si="23"/>
        <v>30.158099651280597</v>
      </c>
      <c r="L44" s="42">
        <f t="shared" si="23"/>
        <v>36.600905768508419</v>
      </c>
      <c r="M44" s="43">
        <f t="shared" si="23"/>
        <v>34.682725183271515</v>
      </c>
      <c r="N44" s="41">
        <f t="shared" si="23"/>
        <v>10.965707909409632</v>
      </c>
      <c r="O44" s="42">
        <f t="shared" si="23"/>
        <v>32.835340258571804</v>
      </c>
      <c r="P44" s="42">
        <f t="shared" si="23"/>
        <v>36.161697561556785</v>
      </c>
      <c r="Q44" s="43">
        <f t="shared" si="23"/>
        <v>28.91095183145978</v>
      </c>
      <c r="R44" s="42">
        <f t="shared" si="23"/>
        <v>9.5261338310096448</v>
      </c>
      <c r="S44" s="42">
        <f t="shared" si="23"/>
        <v>36.074462120533966</v>
      </c>
      <c r="T44" s="42">
        <f t="shared" si="23"/>
        <v>39.626565463662772</v>
      </c>
      <c r="U44" s="43">
        <f t="shared" si="23"/>
        <v>40.246237211170488</v>
      </c>
      <c r="V44" s="9"/>
      <c r="W44" s="9"/>
    </row>
    <row r="45" spans="1:23" x14ac:dyDescent="0.2">
      <c r="A45" s="20" t="s">
        <v>43</v>
      </c>
      <c r="B45" s="41">
        <f t="shared" si="23"/>
        <v>1.029815053207227</v>
      </c>
      <c r="C45" s="42">
        <f t="shared" si="23"/>
        <v>3.4450359180165124</v>
      </c>
      <c r="D45" s="42">
        <f t="shared" si="23"/>
        <v>1.0834674220778602</v>
      </c>
      <c r="E45" s="43">
        <f t="shared" si="23"/>
        <v>1.7051738337159821</v>
      </c>
      <c r="F45" s="42">
        <f t="shared" si="23"/>
        <v>1.2719376370637769</v>
      </c>
      <c r="G45" s="42">
        <f t="shared" si="23"/>
        <v>2.8506717563427277</v>
      </c>
      <c r="H45" s="42">
        <f t="shared" si="23"/>
        <v>5.2452853169723239</v>
      </c>
      <c r="I45" s="43">
        <f t="shared" si="23"/>
        <v>3.8810883846433346</v>
      </c>
      <c r="J45" s="42">
        <f t="shared" si="23"/>
        <v>2.9011398469400564</v>
      </c>
      <c r="K45" s="42">
        <f t="shared" si="23"/>
        <v>2.8954548714506938</v>
      </c>
      <c r="L45" s="42">
        <f t="shared" si="23"/>
        <v>2.3888526422428509</v>
      </c>
      <c r="M45" s="43">
        <f t="shared" si="23"/>
        <v>2.8031740694456611</v>
      </c>
      <c r="N45" s="41">
        <f t="shared" si="23"/>
        <v>1.3921849966262783</v>
      </c>
      <c r="O45" s="42">
        <f t="shared" si="23"/>
        <v>4.3741827651245142</v>
      </c>
      <c r="P45" s="42">
        <f t="shared" si="23"/>
        <v>1.21879823366815</v>
      </c>
      <c r="Q45" s="43">
        <f t="shared" si="23"/>
        <v>2.8264857629348188</v>
      </c>
      <c r="R45" s="42">
        <f t="shared" si="23"/>
        <v>1.6447837485573671</v>
      </c>
      <c r="S45" s="42">
        <f t="shared" si="23"/>
        <v>0.7471592456787014</v>
      </c>
      <c r="T45" s="42">
        <f t="shared" si="23"/>
        <v>4.5271222888987737</v>
      </c>
      <c r="U45" s="43">
        <f t="shared" si="23"/>
        <v>3.4018340606350366</v>
      </c>
      <c r="V45" s="9"/>
      <c r="W45" s="9"/>
    </row>
    <row r="46" spans="1:23" x14ac:dyDescent="0.2">
      <c r="A46" s="20" t="s">
        <v>44</v>
      </c>
      <c r="B46" s="41">
        <f t="shared" si="23"/>
        <v>2.2261279390028927</v>
      </c>
      <c r="C46" s="42">
        <f t="shared" si="23"/>
        <v>16.527178102580557</v>
      </c>
      <c r="D46" s="42">
        <f t="shared" si="23"/>
        <v>7.930917789075747</v>
      </c>
      <c r="E46" s="43">
        <f t="shared" si="23"/>
        <v>11.072819763207999</v>
      </c>
      <c r="F46" s="42">
        <f t="shared" si="23"/>
        <v>1.593062662969559</v>
      </c>
      <c r="G46" s="42">
        <f t="shared" si="23"/>
        <v>8.5578491319647974</v>
      </c>
      <c r="H46" s="42">
        <f t="shared" si="23"/>
        <v>8.4823363461600181</v>
      </c>
      <c r="I46" s="43">
        <f t="shared" si="23"/>
        <v>4.8685913960222198</v>
      </c>
      <c r="J46" s="42">
        <f t="shared" si="23"/>
        <v>2.9673821040062487</v>
      </c>
      <c r="K46" s="42">
        <f t="shared" si="23"/>
        <v>19.465373941778768</v>
      </c>
      <c r="L46" s="42">
        <f t="shared" si="23"/>
        <v>10.945798876078682</v>
      </c>
      <c r="M46" s="43">
        <f t="shared" si="23"/>
        <v>16.317752138388791</v>
      </c>
      <c r="N46" s="41">
        <f t="shared" si="23"/>
        <v>1.0956351407749827</v>
      </c>
      <c r="O46" s="42">
        <f t="shared" si="23"/>
        <v>8.1124448372759037</v>
      </c>
      <c r="P46" s="42">
        <f t="shared" si="23"/>
        <v>8.2577035599595572</v>
      </c>
      <c r="Q46" s="43">
        <f t="shared" si="23"/>
        <v>11.111157945102956</v>
      </c>
      <c r="R46" s="42">
        <f t="shared" si="23"/>
        <v>0.93193407107380477</v>
      </c>
      <c r="S46" s="42">
        <f t="shared" si="23"/>
        <v>12.131632708506606</v>
      </c>
      <c r="T46" s="42">
        <f t="shared" si="23"/>
        <v>13.318204687666517</v>
      </c>
      <c r="U46" s="43">
        <f t="shared" si="23"/>
        <v>4.05973346795518</v>
      </c>
      <c r="V46" s="9"/>
      <c r="W46" s="9"/>
    </row>
    <row r="47" spans="1:23" x14ac:dyDescent="0.2">
      <c r="A47" s="20" t="s">
        <v>45</v>
      </c>
      <c r="B47" s="41">
        <f t="shared" si="23"/>
        <v>3.2286028993842844</v>
      </c>
      <c r="C47" s="42">
        <f t="shared" si="23"/>
        <v>4.9532675492085163</v>
      </c>
      <c r="D47" s="42">
        <f t="shared" si="23"/>
        <v>5.7454066301110194</v>
      </c>
      <c r="E47" s="43">
        <f t="shared" si="23"/>
        <v>5.0715790322787626</v>
      </c>
      <c r="F47" s="42">
        <f t="shared" si="23"/>
        <v>3.9034958838802387</v>
      </c>
      <c r="G47" s="42">
        <f t="shared" si="23"/>
        <v>6.3276029783717771</v>
      </c>
      <c r="H47" s="42">
        <f t="shared" si="23"/>
        <v>11.521999745132645</v>
      </c>
      <c r="I47" s="43">
        <f t="shared" si="23"/>
        <v>15.773318593372375</v>
      </c>
      <c r="J47" s="42">
        <f t="shared" si="23"/>
        <v>3.2186248380198634</v>
      </c>
      <c r="K47" s="42">
        <f t="shared" si="23"/>
        <v>7.1595058575403261</v>
      </c>
      <c r="L47" s="42">
        <f t="shared" si="23"/>
        <v>9.553055984021265</v>
      </c>
      <c r="M47" s="43">
        <f t="shared" si="23"/>
        <v>10.673082541608704</v>
      </c>
      <c r="N47" s="41">
        <f t="shared" si="23"/>
        <v>4.1134722986227716</v>
      </c>
      <c r="O47" s="42">
        <f t="shared" si="23"/>
        <v>5.2674826670207731</v>
      </c>
      <c r="P47" s="42">
        <f t="shared" si="23"/>
        <v>8.1593013962879262</v>
      </c>
      <c r="Q47" s="43">
        <f t="shared" si="23"/>
        <v>10.688228163408656</v>
      </c>
      <c r="R47" s="42">
        <f t="shared" si="23"/>
        <v>2.5053126797362757</v>
      </c>
      <c r="S47" s="42">
        <f t="shared" si="23"/>
        <v>6.35460544677606</v>
      </c>
      <c r="T47" s="42">
        <f t="shared" si="23"/>
        <v>6.7140479377349571</v>
      </c>
      <c r="U47" s="43">
        <f t="shared" si="23"/>
        <v>7.729288967789242</v>
      </c>
      <c r="V47" s="9"/>
      <c r="W47" s="9"/>
    </row>
    <row r="48" spans="1:23" x14ac:dyDescent="0.2">
      <c r="A48" s="20" t="s">
        <v>47</v>
      </c>
      <c r="B48" s="41">
        <f t="shared" ref="B48:U50" si="24">(B34-$E60)/$C60</f>
        <v>42.005299522104856</v>
      </c>
      <c r="C48" s="42">
        <f t="shared" si="24"/>
        <v>50.893894974955323</v>
      </c>
      <c r="D48" s="42">
        <f t="shared" si="24"/>
        <v>62.738056453905202</v>
      </c>
      <c r="E48" s="43">
        <f t="shared" si="24"/>
        <v>60.789962582521042</v>
      </c>
      <c r="F48" s="42">
        <f t="shared" si="24"/>
        <v>45.215129638904706</v>
      </c>
      <c r="G48" s="42">
        <f t="shared" si="24"/>
        <v>53.511319483436282</v>
      </c>
      <c r="H48" s="42">
        <f t="shared" si="24"/>
        <v>69.911650281076348</v>
      </c>
      <c r="I48" s="43">
        <f t="shared" si="24"/>
        <v>55.852499986186423</v>
      </c>
      <c r="J48" s="42">
        <f t="shared" si="24"/>
        <v>43.807925505607145</v>
      </c>
      <c r="K48" s="42">
        <f t="shared" si="24"/>
        <v>51.497587288969825</v>
      </c>
      <c r="L48" s="42">
        <f t="shared" si="24"/>
        <v>57.784845561758779</v>
      </c>
      <c r="M48" s="43">
        <f t="shared" si="24"/>
        <v>59.164441583608209</v>
      </c>
      <c r="N48" s="41">
        <f t="shared" si="24"/>
        <v>45.5346534579229</v>
      </c>
      <c r="O48" s="42">
        <f t="shared" si="24"/>
        <v>57.951387314251058</v>
      </c>
      <c r="P48" s="42">
        <f t="shared" si="24"/>
        <v>57.911969342596144</v>
      </c>
      <c r="Q48" s="43">
        <f t="shared" si="24"/>
        <v>53.729865499938263</v>
      </c>
      <c r="R48" s="42">
        <f t="shared" si="24"/>
        <v>38.871531658855069</v>
      </c>
      <c r="S48" s="42">
        <f t="shared" si="24"/>
        <v>57.540466813695609</v>
      </c>
      <c r="T48" s="42">
        <f t="shared" si="24"/>
        <v>55.953805523364352</v>
      </c>
      <c r="U48" s="43">
        <f t="shared" si="24"/>
        <v>54.7130295904768</v>
      </c>
      <c r="V48" s="9"/>
      <c r="W48" s="9"/>
    </row>
    <row r="49" spans="1:23" x14ac:dyDescent="0.2">
      <c r="A49" s="20" t="s">
        <v>48</v>
      </c>
      <c r="B49" s="41">
        <f t="shared" si="24"/>
        <v>1.8002800053056867</v>
      </c>
      <c r="C49" s="42">
        <f t="shared" si="24"/>
        <v>2.3353837898372527</v>
      </c>
      <c r="D49" s="42">
        <f t="shared" si="24"/>
        <v>3.5405912521262315</v>
      </c>
      <c r="E49" s="43">
        <f t="shared" si="24"/>
        <v>5.2766572337178017</v>
      </c>
      <c r="F49" s="42">
        <f t="shared" si="24"/>
        <v>1.6631480874533275</v>
      </c>
      <c r="G49" s="42">
        <f t="shared" si="24"/>
        <v>2.7989557984919657</v>
      </c>
      <c r="H49" s="42">
        <f t="shared" si="24"/>
        <v>14.516611604585306</v>
      </c>
      <c r="I49" s="43">
        <f t="shared" si="24"/>
        <v>13.370076817028236</v>
      </c>
      <c r="J49" s="42">
        <f t="shared" si="24"/>
        <v>1.345649745297675</v>
      </c>
      <c r="K49" s="42">
        <f t="shared" si="24"/>
        <v>2.1668859879581932</v>
      </c>
      <c r="L49" s="42">
        <f t="shared" si="24"/>
        <v>3.2628875678113505</v>
      </c>
      <c r="M49" s="43">
        <f t="shared" si="24"/>
        <v>2.8821141477413574</v>
      </c>
      <c r="N49" s="41">
        <f t="shared" si="24"/>
        <v>1.3197009495056609</v>
      </c>
      <c r="O49" s="42">
        <f t="shared" si="24"/>
        <v>2.4461419767173358</v>
      </c>
      <c r="P49" s="42">
        <f t="shared" si="24"/>
        <v>3.279394596518296</v>
      </c>
      <c r="Q49" s="43">
        <f t="shared" si="24"/>
        <v>2.4619103636061048</v>
      </c>
      <c r="R49" s="42">
        <f t="shared" si="24"/>
        <v>1.1070937176129925</v>
      </c>
      <c r="S49" s="42">
        <f t="shared" si="24"/>
        <v>2.4046844221074442</v>
      </c>
      <c r="T49" s="42">
        <f t="shared" si="24"/>
        <v>2.9915873544650222</v>
      </c>
      <c r="U49" s="43">
        <f t="shared" si="24"/>
        <v>2.2954810832607433</v>
      </c>
      <c r="V49" s="9"/>
      <c r="W49" s="9"/>
    </row>
    <row r="50" spans="1:23" x14ac:dyDescent="0.2">
      <c r="A50" s="26" t="s">
        <v>49</v>
      </c>
      <c r="B50" s="44">
        <f t="shared" si="24"/>
        <v>1.9948352055301815</v>
      </c>
      <c r="C50" s="45">
        <f t="shared" si="24"/>
        <v>3.9746888746977742</v>
      </c>
      <c r="D50" s="45">
        <f t="shared" si="24"/>
        <v>7.1810696439222763</v>
      </c>
      <c r="E50" s="46">
        <f t="shared" si="24"/>
        <v>8.7163144974856408</v>
      </c>
      <c r="F50" s="45">
        <f t="shared" si="24"/>
        <v>1.8360482897936501</v>
      </c>
      <c r="G50" s="45">
        <f t="shared" si="24"/>
        <v>6.4425089004201865</v>
      </c>
      <c r="H50" s="45">
        <f t="shared" si="24"/>
        <v>8.3351829358141316</v>
      </c>
      <c r="I50" s="46">
        <f t="shared" si="24"/>
        <v>4.5337045001988203</v>
      </c>
      <c r="J50" s="45">
        <f t="shared" si="24"/>
        <v>1.902821792738598</v>
      </c>
      <c r="K50" s="45">
        <f t="shared" si="24"/>
        <v>4.2353338663487063</v>
      </c>
      <c r="L50" s="45">
        <f t="shared" si="24"/>
        <v>4.8005800931584686</v>
      </c>
      <c r="M50" s="46">
        <f t="shared" si="24"/>
        <v>4.7107147568167811</v>
      </c>
      <c r="N50" s="44">
        <f t="shared" si="24"/>
        <v>1.8642347459992086</v>
      </c>
      <c r="O50" s="45">
        <f t="shared" si="24"/>
        <v>2.2378998608097915</v>
      </c>
      <c r="P50" s="45">
        <f t="shared" si="24"/>
        <v>6.2358868578432158</v>
      </c>
      <c r="Q50" s="46">
        <f t="shared" si="24"/>
        <v>5.7328042392586651</v>
      </c>
      <c r="R50" s="45">
        <f t="shared" si="24"/>
        <v>1.582816378700141</v>
      </c>
      <c r="S50" s="45">
        <f t="shared" si="24"/>
        <v>6.9270488521936091</v>
      </c>
      <c r="T50" s="45">
        <f t="shared" si="24"/>
        <v>8.1402283458393914</v>
      </c>
      <c r="U50" s="46">
        <f t="shared" si="24"/>
        <v>8.374915700186083</v>
      </c>
      <c r="V50" s="9"/>
      <c r="W50" s="9"/>
    </row>
    <row r="51" spans="1:23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 spans="1:23" x14ac:dyDescent="0.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 spans="1:23" x14ac:dyDescent="0.2">
      <c r="A53" s="15" t="s">
        <v>39</v>
      </c>
      <c r="B53" s="47" t="s">
        <v>52</v>
      </c>
      <c r="C53" s="48">
        <v>3.5999999999999999E-3</v>
      </c>
      <c r="D53" s="49" t="s">
        <v>53</v>
      </c>
      <c r="E53" s="48">
        <v>1.2999999999999999E-3</v>
      </c>
      <c r="F53" s="50"/>
      <c r="G53" s="50"/>
      <c r="H53" s="51"/>
      <c r="I53" s="51"/>
      <c r="J53" s="51"/>
      <c r="K53" s="50"/>
      <c r="L53" s="50"/>
      <c r="M53" s="50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 spans="1:23" x14ac:dyDescent="0.2">
      <c r="A54" s="20" t="s">
        <v>40</v>
      </c>
      <c r="B54" s="52" t="s">
        <v>52</v>
      </c>
      <c r="C54" s="53">
        <v>4.7999999999999996E-3</v>
      </c>
      <c r="D54" s="54" t="s">
        <v>53</v>
      </c>
      <c r="E54" s="53">
        <v>1.6000000000000001E-3</v>
      </c>
      <c r="F54" s="50"/>
      <c r="G54" s="50"/>
      <c r="H54" s="51"/>
      <c r="I54" s="51"/>
      <c r="J54" s="51"/>
      <c r="K54" s="50"/>
      <c r="L54" s="50"/>
      <c r="M54" s="50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 spans="1:23" x14ac:dyDescent="0.2">
      <c r="A55" s="20" t="s">
        <v>41</v>
      </c>
      <c r="B55" s="52" t="s">
        <v>52</v>
      </c>
      <c r="C55" s="53">
        <v>2.7000000000000001E-3</v>
      </c>
      <c r="D55" s="54" t="s">
        <v>53</v>
      </c>
      <c r="E55" s="53">
        <v>1.1999999999999999E-3</v>
      </c>
      <c r="F55" s="50"/>
      <c r="G55" s="50"/>
      <c r="H55" s="51"/>
      <c r="I55" s="51"/>
      <c r="J55" s="51"/>
      <c r="K55" s="50"/>
      <c r="L55" s="50"/>
      <c r="M55" s="50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 spans="1:23" x14ac:dyDescent="0.2">
      <c r="A56" s="20" t="s">
        <v>42</v>
      </c>
      <c r="B56" s="52" t="s">
        <v>52</v>
      </c>
      <c r="C56" s="53">
        <v>2.7000000000000001E-3</v>
      </c>
      <c r="D56" s="54" t="s">
        <v>53</v>
      </c>
      <c r="E56" s="53">
        <v>-5.0000000000000001E-4</v>
      </c>
      <c r="F56" s="50"/>
      <c r="G56" s="50"/>
      <c r="H56" s="51"/>
      <c r="I56" s="51"/>
      <c r="J56" s="51"/>
      <c r="K56" s="50"/>
      <c r="L56" s="50"/>
      <c r="M56" s="50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 spans="1:23" x14ac:dyDescent="0.2">
      <c r="A57" s="20" t="s">
        <v>43</v>
      </c>
      <c r="B57" s="52" t="s">
        <v>52</v>
      </c>
      <c r="C57" s="53">
        <v>3.5999999999999999E-3</v>
      </c>
      <c r="D57" s="54" t="s">
        <v>53</v>
      </c>
      <c r="E57" s="53">
        <v>2.5999999999999999E-3</v>
      </c>
      <c r="F57" s="50"/>
      <c r="G57" s="50"/>
      <c r="H57" s="51"/>
      <c r="I57" s="51"/>
      <c r="J57" s="51"/>
      <c r="K57" s="50"/>
      <c r="L57" s="50"/>
      <c r="M57" s="50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 spans="1:23" x14ac:dyDescent="0.2">
      <c r="A58" s="20" t="s">
        <v>44</v>
      </c>
      <c r="B58" s="52" t="s">
        <v>52</v>
      </c>
      <c r="C58" s="53">
        <v>2.7000000000000001E-3</v>
      </c>
      <c r="D58" s="54" t="s">
        <v>53</v>
      </c>
      <c r="E58" s="53">
        <v>0</v>
      </c>
      <c r="F58" s="50"/>
      <c r="G58" s="50"/>
      <c r="H58" s="51"/>
      <c r="I58" s="51"/>
      <c r="J58" s="51"/>
      <c r="K58" s="50"/>
      <c r="L58" s="50"/>
      <c r="M58" s="50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 spans="1:23" x14ac:dyDescent="0.2">
      <c r="A59" s="20" t="s">
        <v>45</v>
      </c>
      <c r="B59" s="52" t="s">
        <v>52</v>
      </c>
      <c r="C59" s="53">
        <v>2.5999999999999999E-3</v>
      </c>
      <c r="D59" s="54" t="s">
        <v>53</v>
      </c>
      <c r="E59" s="53">
        <v>-4.1999999999999997E-3</v>
      </c>
      <c r="F59" s="50"/>
      <c r="G59" s="50"/>
      <c r="H59" s="51"/>
      <c r="I59" s="51"/>
      <c r="J59" s="51"/>
      <c r="K59" s="50"/>
      <c r="L59" s="50"/>
      <c r="M59" s="50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 spans="1:23" x14ac:dyDescent="0.2">
      <c r="A60" s="20" t="s">
        <v>47</v>
      </c>
      <c r="B60" s="52" t="s">
        <v>52</v>
      </c>
      <c r="C60" s="53">
        <v>2.5000000000000001E-3</v>
      </c>
      <c r="D60" s="54" t="s">
        <v>53</v>
      </c>
      <c r="E60" s="53">
        <v>-8.9999999999999998E-4</v>
      </c>
      <c r="F60" s="50"/>
      <c r="G60" s="50"/>
      <c r="H60" s="51"/>
      <c r="I60" s="51"/>
      <c r="J60" s="51"/>
      <c r="K60" s="50"/>
      <c r="L60" s="50"/>
      <c r="M60" s="50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 spans="1:23" x14ac:dyDescent="0.2">
      <c r="A61" s="20" t="s">
        <v>48</v>
      </c>
      <c r="B61" s="52" t="s">
        <v>52</v>
      </c>
      <c r="C61" s="53">
        <v>2.3E-3</v>
      </c>
      <c r="D61" s="54" t="s">
        <v>53</v>
      </c>
      <c r="E61" s="53">
        <v>-5.0000000000000001E-4</v>
      </c>
      <c r="F61" s="50"/>
      <c r="G61" s="50"/>
      <c r="H61" s="51"/>
      <c r="I61" s="51"/>
      <c r="J61" s="51"/>
      <c r="K61" s="50"/>
      <c r="L61" s="50"/>
      <c r="M61" s="50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 spans="1:23" x14ac:dyDescent="0.2">
      <c r="A62" s="26" t="s">
        <v>49</v>
      </c>
      <c r="B62" s="55" t="s">
        <v>52</v>
      </c>
      <c r="C62" s="56">
        <v>2.5000000000000001E-3</v>
      </c>
      <c r="D62" s="57" t="s">
        <v>53</v>
      </c>
      <c r="E62" s="56">
        <v>-4.0000000000000002E-4</v>
      </c>
      <c r="F62" s="58"/>
      <c r="G62" s="50"/>
      <c r="H62" s="51"/>
      <c r="I62" s="51"/>
      <c r="J62" s="51"/>
      <c r="K62" s="50"/>
      <c r="L62" s="50"/>
      <c r="M62" s="50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 spans="1:23" x14ac:dyDescent="0.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 spans="1:23" hidden="1" x14ac:dyDescent="0.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 spans="1:23" hidden="1" x14ac:dyDescent="0.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 spans="1:23" hidden="1" x14ac:dyDescent="0.2">
      <c r="A66" s="9"/>
      <c r="B66" s="7" t="s">
        <v>13</v>
      </c>
      <c r="C66" s="7">
        <v>2.5100000000000001E-2</v>
      </c>
      <c r="D66" s="12" t="s">
        <v>14</v>
      </c>
      <c r="E66" s="21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 spans="1:23" hidden="1" x14ac:dyDescent="0.2">
      <c r="A67" s="9"/>
      <c r="B67" s="7" t="s">
        <v>15</v>
      </c>
      <c r="C67" s="7">
        <v>1.1662213962132653</v>
      </c>
      <c r="D67" s="12" t="s">
        <v>16</v>
      </c>
      <c r="E67" s="21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 spans="1:23" hidden="1" x14ac:dyDescent="0.2">
      <c r="A68" s="9"/>
      <c r="B68" s="7" t="s">
        <v>17</v>
      </c>
      <c r="C68" s="7">
        <v>0.23324427924265306</v>
      </c>
      <c r="D68" s="12" t="s">
        <v>16</v>
      </c>
      <c r="E68" s="21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 spans="1:23" hidden="1" x14ac:dyDescent="0.2">
      <c r="A69" s="9"/>
      <c r="B69" s="7" t="s">
        <v>17</v>
      </c>
      <c r="C69" s="7">
        <v>20.080000000000002</v>
      </c>
      <c r="D69" s="12" t="s">
        <v>18</v>
      </c>
      <c r="E69" s="12">
        <f>C69/1000</f>
        <v>2.0080000000000001E-2</v>
      </c>
      <c r="F69" s="12" t="s">
        <v>54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 spans="1:23" hidden="1" x14ac:dyDescent="0.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 spans="1:23" x14ac:dyDescent="0.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 spans="1:23" ht="16" x14ac:dyDescent="0.2">
      <c r="A72" s="9"/>
      <c r="B72" s="124" t="s">
        <v>55</v>
      </c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6"/>
      <c r="V72" s="9"/>
      <c r="W72" s="9"/>
    </row>
    <row r="73" spans="1:23" ht="16" x14ac:dyDescent="0.2">
      <c r="A73" s="9"/>
      <c r="B73" s="13" t="str">
        <f t="shared" ref="B73:U73" si="25">B10</f>
        <v>A_0h</v>
      </c>
      <c r="C73" s="13" t="str">
        <f t="shared" si="25"/>
        <v>A_12h</v>
      </c>
      <c r="D73" s="13" t="str">
        <f t="shared" si="25"/>
        <v>A_24h</v>
      </c>
      <c r="E73" s="13" t="str">
        <f t="shared" si="25"/>
        <v>A_48h</v>
      </c>
      <c r="F73" s="13" t="str">
        <f t="shared" si="25"/>
        <v>B_0h</v>
      </c>
      <c r="G73" s="30" t="str">
        <f t="shared" si="25"/>
        <v>B_12h</v>
      </c>
      <c r="H73" s="14" t="str">
        <f t="shared" si="25"/>
        <v>B_24h</v>
      </c>
      <c r="I73" s="13" t="str">
        <f t="shared" si="25"/>
        <v>B_48h</v>
      </c>
      <c r="J73" s="13" t="str">
        <f t="shared" si="25"/>
        <v>C_0h</v>
      </c>
      <c r="K73" s="13" t="str">
        <f t="shared" si="25"/>
        <v>C_12h</v>
      </c>
      <c r="L73" s="13" t="str">
        <f t="shared" si="25"/>
        <v>C_24h</v>
      </c>
      <c r="M73" s="13" t="str">
        <f t="shared" si="25"/>
        <v>C_48h</v>
      </c>
      <c r="N73" s="13" t="str">
        <f t="shared" si="25"/>
        <v>D_0h</v>
      </c>
      <c r="O73" s="13" t="str">
        <f t="shared" si="25"/>
        <v>D_12h</v>
      </c>
      <c r="P73" s="13" t="str">
        <f t="shared" si="25"/>
        <v>D_24h</v>
      </c>
      <c r="Q73" s="13" t="str">
        <f t="shared" si="25"/>
        <v>D_48h</v>
      </c>
      <c r="R73" s="13" t="str">
        <f t="shared" si="25"/>
        <v>E_0h</v>
      </c>
      <c r="S73" s="30" t="str">
        <f t="shared" si="25"/>
        <v>E_12h</v>
      </c>
      <c r="T73" s="14" t="str">
        <f t="shared" si="25"/>
        <v>E_24h</v>
      </c>
      <c r="U73" s="13" t="str">
        <f t="shared" si="25"/>
        <v>E_48h</v>
      </c>
      <c r="V73" s="9"/>
      <c r="W73" s="9"/>
    </row>
    <row r="74" spans="1:23" x14ac:dyDescent="0.2">
      <c r="A74" s="15" t="s">
        <v>39</v>
      </c>
      <c r="B74" s="59">
        <f>B41*$E$69</f>
        <v>8.4013478994362858E-2</v>
      </c>
      <c r="C74" s="31">
        <f t="shared" ref="C74:U74" si="26">C41*$E$69</f>
        <v>8.550842759859692E-2</v>
      </c>
      <c r="D74" s="31">
        <f t="shared" si="26"/>
        <v>0.85368901054067103</v>
      </c>
      <c r="E74" s="60">
        <f t="shared" si="26"/>
        <v>4.8029402174609608</v>
      </c>
      <c r="F74" s="31">
        <f t="shared" si="26"/>
        <v>8.904081881983332E-2</v>
      </c>
      <c r="G74" s="19">
        <f t="shared" si="26"/>
        <v>0.23410902409026496</v>
      </c>
      <c r="H74" s="19">
        <f t="shared" si="26"/>
        <v>3.5565602712420956</v>
      </c>
      <c r="I74" s="60">
        <f t="shared" si="26"/>
        <v>6.150684072929117</v>
      </c>
      <c r="J74" s="59">
        <f t="shared" si="26"/>
        <v>6.7377809208633163E-2</v>
      </c>
      <c r="K74" s="31">
        <f t="shared" si="26"/>
        <v>0.6484935331028393</v>
      </c>
      <c r="L74" s="31">
        <f t="shared" si="26"/>
        <v>2.6914602334467532</v>
      </c>
      <c r="M74" s="60">
        <f t="shared" si="26"/>
        <v>3.166250055942927</v>
      </c>
      <c r="N74" s="59">
        <f t="shared" si="26"/>
        <v>8.06219229540103E-2</v>
      </c>
      <c r="O74" s="31">
        <f t="shared" si="26"/>
        <v>0.29793575455176174</v>
      </c>
      <c r="P74" s="31">
        <f t="shared" si="26"/>
        <v>3.0167267624419374</v>
      </c>
      <c r="Q74" s="60">
        <f t="shared" si="26"/>
        <v>4.595626216448748</v>
      </c>
      <c r="R74" s="31">
        <f t="shared" si="26"/>
        <v>6.6645879320255813E-2</v>
      </c>
      <c r="S74" s="31">
        <f t="shared" si="26"/>
        <v>0.96614634068627603</v>
      </c>
      <c r="T74" s="31">
        <f t="shared" si="26"/>
        <v>3.5461306776436747</v>
      </c>
      <c r="U74" s="60">
        <f t="shared" si="26"/>
        <v>5.9405385392441721</v>
      </c>
      <c r="V74" s="9"/>
      <c r="W74" s="9"/>
    </row>
    <row r="75" spans="1:23" x14ac:dyDescent="0.2">
      <c r="A75" s="20" t="s">
        <v>40</v>
      </c>
      <c r="B75" s="34">
        <f t="shared" ref="B75:U83" si="27">B42*$E$69</f>
        <v>7.2765434249739899E-2</v>
      </c>
      <c r="C75" s="33">
        <f t="shared" si="27"/>
        <v>9.8725468743603006E-3</v>
      </c>
      <c r="D75" s="33">
        <f t="shared" si="27"/>
        <v>1.4190946054662264E-2</v>
      </c>
      <c r="E75" s="32">
        <f t="shared" si="27"/>
        <v>2.0632580058310895E-2</v>
      </c>
      <c r="F75" s="33">
        <f t="shared" si="27"/>
        <v>6.119572468505486E-2</v>
      </c>
      <c r="G75" s="9">
        <f t="shared" si="27"/>
        <v>2.5335544966917783E-3</v>
      </c>
      <c r="H75" s="9">
        <f t="shared" si="27"/>
        <v>1.7522757398009469E-2</v>
      </c>
      <c r="I75" s="32">
        <f t="shared" si="27"/>
        <v>1.8681857889534647E-2</v>
      </c>
      <c r="J75" s="34">
        <f t="shared" si="27"/>
        <v>4.8823900394983771E-2</v>
      </c>
      <c r="K75" s="33">
        <f t="shared" si="27"/>
        <v>4.9928778722108484E-3</v>
      </c>
      <c r="L75" s="33">
        <f t="shared" si="27"/>
        <v>1.4885983504564326E-2</v>
      </c>
      <c r="M75" s="32">
        <f t="shared" si="27"/>
        <v>4.7834088252501072E-2</v>
      </c>
      <c r="N75" s="34">
        <f t="shared" si="27"/>
        <v>5.6842182937900498E-2</v>
      </c>
      <c r="O75" s="33">
        <f t="shared" si="27"/>
        <v>6.3152358068755306E-3</v>
      </c>
      <c r="P75" s="33">
        <f t="shared" si="27"/>
        <v>2.613332992730022E-2</v>
      </c>
      <c r="Q75" s="32">
        <f t="shared" si="27"/>
        <v>2.6318750497748917E-2</v>
      </c>
      <c r="R75" s="33">
        <f t="shared" si="27"/>
        <v>4.975131378472266E-2</v>
      </c>
      <c r="S75" s="33">
        <f t="shared" si="27"/>
        <v>3.9797855582196819E-3</v>
      </c>
      <c r="T75" s="33">
        <f t="shared" si="27"/>
        <v>5.0721971664665348E-2</v>
      </c>
      <c r="U75" s="32">
        <f t="shared" si="27"/>
        <v>3.4463548352152554E-2</v>
      </c>
      <c r="V75" s="9"/>
      <c r="W75" s="9"/>
    </row>
    <row r="76" spans="1:23" x14ac:dyDescent="0.2">
      <c r="A76" s="20" t="s">
        <v>41</v>
      </c>
      <c r="B76" s="34">
        <f t="shared" si="27"/>
        <v>8.4144866823549408E-5</v>
      </c>
      <c r="C76" s="33">
        <f t="shared" si="27"/>
        <v>0.17958037030985902</v>
      </c>
      <c r="D76" s="33">
        <f t="shared" si="27"/>
        <v>0.39872881683109773</v>
      </c>
      <c r="E76" s="32">
        <f t="shared" si="27"/>
        <v>1.8236888145305867</v>
      </c>
      <c r="F76" s="33">
        <f t="shared" si="27"/>
        <v>2.457607044034911E-2</v>
      </c>
      <c r="G76" s="9">
        <f t="shared" si="27"/>
        <v>0.13206927755713829</v>
      </c>
      <c r="H76" s="9">
        <f t="shared" si="27"/>
        <v>0.80012404913573298</v>
      </c>
      <c r="I76" s="32">
        <f t="shared" si="27"/>
        <v>1.2583706524234961</v>
      </c>
      <c r="J76" s="34">
        <f t="shared" si="27"/>
        <v>9.4323668115309206E-2</v>
      </c>
      <c r="K76" s="33">
        <f t="shared" si="27"/>
        <v>0.34090055112374551</v>
      </c>
      <c r="L76" s="33">
        <f t="shared" si="27"/>
        <v>1.7987585047662045</v>
      </c>
      <c r="M76" s="32">
        <f t="shared" si="27"/>
        <v>2.1802964519805581</v>
      </c>
      <c r="N76" s="34">
        <f t="shared" si="27"/>
        <v>1.5186896171979323E-2</v>
      </c>
      <c r="O76" s="33">
        <f t="shared" si="27"/>
        <v>0.21466926069061726</v>
      </c>
      <c r="P76" s="33">
        <f t="shared" si="27"/>
        <v>1.2175975308065867</v>
      </c>
      <c r="Q76" s="32">
        <f t="shared" si="27"/>
        <v>1.7237202088134849</v>
      </c>
      <c r="R76" s="33">
        <f t="shared" si="27"/>
        <v>9.9002877611031512E-4</v>
      </c>
      <c r="S76" s="33">
        <f t="shared" si="27"/>
        <v>3.748419731959525E-2</v>
      </c>
      <c r="T76" s="33">
        <f t="shared" si="27"/>
        <v>7.4869358991773965E-2</v>
      </c>
      <c r="U76" s="32">
        <f t="shared" si="27"/>
        <v>0.17041688877361777</v>
      </c>
      <c r="V76" s="9"/>
      <c r="W76" s="9"/>
    </row>
    <row r="77" spans="1:23" x14ac:dyDescent="0.2">
      <c r="A77" s="20" t="s">
        <v>42</v>
      </c>
      <c r="B77" s="34">
        <f t="shared" si="27"/>
        <v>0.31408009253544372</v>
      </c>
      <c r="C77" s="33">
        <f t="shared" si="27"/>
        <v>0.64498831120113265</v>
      </c>
      <c r="D77" s="33">
        <f t="shared" si="27"/>
        <v>0.14388507843950932</v>
      </c>
      <c r="E77" s="32">
        <f t="shared" si="27"/>
        <v>0.11986100611443447</v>
      </c>
      <c r="F77" s="33">
        <f t="shared" si="27"/>
        <v>0.21964004504456919</v>
      </c>
      <c r="G77" s="9">
        <f t="shared" si="27"/>
        <v>0.19104573473399974</v>
      </c>
      <c r="H77" s="9">
        <f t="shared" si="27"/>
        <v>0.19547816559664946</v>
      </c>
      <c r="I77" s="32">
        <f t="shared" si="27"/>
        <v>0.20220266841741755</v>
      </c>
      <c r="J77" s="34">
        <f t="shared" si="27"/>
        <v>0.1892293190783115</v>
      </c>
      <c r="K77" s="33">
        <f t="shared" si="27"/>
        <v>0.60557464099771441</v>
      </c>
      <c r="L77" s="33">
        <f t="shared" si="27"/>
        <v>0.73494618783164911</v>
      </c>
      <c r="M77" s="32">
        <f t="shared" si="27"/>
        <v>0.69642912168009208</v>
      </c>
      <c r="N77" s="34">
        <f t="shared" si="27"/>
        <v>0.22019141482094542</v>
      </c>
      <c r="O77" s="33">
        <f t="shared" si="27"/>
        <v>0.65933363239212184</v>
      </c>
      <c r="P77" s="33">
        <f t="shared" si="27"/>
        <v>0.72612688703606032</v>
      </c>
      <c r="Q77" s="32">
        <f t="shared" si="27"/>
        <v>0.58053191277571237</v>
      </c>
      <c r="R77" s="33">
        <f t="shared" si="27"/>
        <v>0.19128476732667368</v>
      </c>
      <c r="S77" s="33">
        <f t="shared" si="27"/>
        <v>0.72437519938032202</v>
      </c>
      <c r="T77" s="33">
        <f t="shared" si="27"/>
        <v>0.79570143451034847</v>
      </c>
      <c r="U77" s="32">
        <f t="shared" si="27"/>
        <v>0.80814444320030343</v>
      </c>
      <c r="V77" s="9"/>
      <c r="W77" s="9"/>
    </row>
    <row r="78" spans="1:23" x14ac:dyDescent="0.2">
      <c r="A78" s="20" t="s">
        <v>43</v>
      </c>
      <c r="B78" s="34">
        <f t="shared" si="27"/>
        <v>2.0678686268401119E-2</v>
      </c>
      <c r="C78" s="33">
        <f t="shared" si="27"/>
        <v>6.917632123377157E-2</v>
      </c>
      <c r="D78" s="33">
        <f t="shared" si="27"/>
        <v>2.1756025835323434E-2</v>
      </c>
      <c r="E78" s="32">
        <f t="shared" si="27"/>
        <v>3.4239890581016924E-2</v>
      </c>
      <c r="F78" s="33">
        <f t="shared" si="27"/>
        <v>2.5540507752240642E-2</v>
      </c>
      <c r="G78" s="9">
        <f t="shared" si="27"/>
        <v>5.7241488867361974E-2</v>
      </c>
      <c r="H78" s="9">
        <f t="shared" si="27"/>
        <v>0.10532532916480426</v>
      </c>
      <c r="I78" s="32">
        <f t="shared" si="27"/>
        <v>7.7932254763638159E-2</v>
      </c>
      <c r="J78" s="34">
        <f t="shared" si="27"/>
        <v>5.8254888126556333E-2</v>
      </c>
      <c r="K78" s="33">
        <f t="shared" si="27"/>
        <v>5.8140733818729931E-2</v>
      </c>
      <c r="L78" s="33">
        <f t="shared" si="27"/>
        <v>4.7968161056236448E-2</v>
      </c>
      <c r="M78" s="32">
        <f t="shared" si="27"/>
        <v>5.6287735314468873E-2</v>
      </c>
      <c r="N78" s="34">
        <f t="shared" si="27"/>
        <v>2.7955074732255669E-2</v>
      </c>
      <c r="O78" s="33">
        <f t="shared" si="27"/>
        <v>8.7833589923700245E-2</v>
      </c>
      <c r="P78" s="33">
        <f t="shared" si="27"/>
        <v>2.4473468532056453E-2</v>
      </c>
      <c r="Q78" s="32">
        <f t="shared" si="27"/>
        <v>5.6755834119731161E-2</v>
      </c>
      <c r="R78" s="33">
        <f t="shared" si="27"/>
        <v>3.3027257671031929E-2</v>
      </c>
      <c r="S78" s="33">
        <f t="shared" si="27"/>
        <v>1.5002957653228325E-2</v>
      </c>
      <c r="T78" s="33">
        <f t="shared" si="27"/>
        <v>9.0904615561087379E-2</v>
      </c>
      <c r="U78" s="32">
        <f t="shared" si="27"/>
        <v>6.8308827937551539E-2</v>
      </c>
      <c r="V78" s="9"/>
      <c r="W78" s="9"/>
    </row>
    <row r="79" spans="1:23" x14ac:dyDescent="0.2">
      <c r="A79" s="20" t="s">
        <v>44</v>
      </c>
      <c r="B79" s="34">
        <f t="shared" si="27"/>
        <v>4.470064901517809E-2</v>
      </c>
      <c r="C79" s="33">
        <f t="shared" si="27"/>
        <v>0.33186573629981758</v>
      </c>
      <c r="D79" s="33">
        <f t="shared" si="27"/>
        <v>0.15925282920464101</v>
      </c>
      <c r="E79" s="32">
        <f t="shared" si="27"/>
        <v>0.22234222084521663</v>
      </c>
      <c r="F79" s="33">
        <f t="shared" si="27"/>
        <v>3.1988698272428749E-2</v>
      </c>
      <c r="G79" s="9">
        <f t="shared" si="27"/>
        <v>0.17184161056985314</v>
      </c>
      <c r="H79" s="9">
        <f t="shared" si="27"/>
        <v>0.17032531383089317</v>
      </c>
      <c r="I79" s="32">
        <f t="shared" si="27"/>
        <v>9.7761315232126181E-2</v>
      </c>
      <c r="J79" s="34">
        <f t="shared" si="27"/>
        <v>5.9585032648445474E-2</v>
      </c>
      <c r="K79" s="33">
        <f t="shared" si="27"/>
        <v>0.39086470875091767</v>
      </c>
      <c r="L79" s="33">
        <f t="shared" si="27"/>
        <v>0.21979164143165994</v>
      </c>
      <c r="M79" s="32">
        <f t="shared" si="27"/>
        <v>0.32766046293884693</v>
      </c>
      <c r="N79" s="34">
        <f t="shared" si="27"/>
        <v>2.2000353626761653E-2</v>
      </c>
      <c r="O79" s="33">
        <f t="shared" si="27"/>
        <v>0.16289789233250015</v>
      </c>
      <c r="P79" s="33">
        <f t="shared" si="27"/>
        <v>0.16581468748398792</v>
      </c>
      <c r="Q79" s="32">
        <f t="shared" si="27"/>
        <v>0.22311205153766736</v>
      </c>
      <c r="R79" s="33">
        <f t="shared" si="27"/>
        <v>1.8713236147161999E-2</v>
      </c>
      <c r="S79" s="33">
        <f t="shared" si="27"/>
        <v>0.24360318478681264</v>
      </c>
      <c r="T79" s="33">
        <f t="shared" si="27"/>
        <v>0.26742955012834368</v>
      </c>
      <c r="U79" s="32">
        <f t="shared" si="27"/>
        <v>8.1519448036540015E-2</v>
      </c>
      <c r="V79" s="9"/>
      <c r="W79" s="9"/>
    </row>
    <row r="80" spans="1:23" x14ac:dyDescent="0.2">
      <c r="A80" s="20" t="s">
        <v>45</v>
      </c>
      <c r="B80" s="34">
        <f t="shared" si="27"/>
        <v>6.4830346219636431E-2</v>
      </c>
      <c r="C80" s="33">
        <f t="shared" si="27"/>
        <v>9.946161238810701E-2</v>
      </c>
      <c r="D80" s="33">
        <f t="shared" si="27"/>
        <v>0.11536776513262927</v>
      </c>
      <c r="E80" s="32">
        <f t="shared" si="27"/>
        <v>0.10183730696815756</v>
      </c>
      <c r="F80" s="33">
        <f t="shared" si="27"/>
        <v>7.8382197348315197E-2</v>
      </c>
      <c r="G80" s="9">
        <f t="shared" si="27"/>
        <v>0.12705826780570528</v>
      </c>
      <c r="H80" s="9">
        <f t="shared" si="27"/>
        <v>0.23136175488226352</v>
      </c>
      <c r="I80" s="32">
        <f t="shared" si="27"/>
        <v>0.31672823735491729</v>
      </c>
      <c r="J80" s="34">
        <f t="shared" si="27"/>
        <v>6.4629986747438861E-2</v>
      </c>
      <c r="K80" s="33">
        <f t="shared" si="27"/>
        <v>0.14376287761940976</v>
      </c>
      <c r="L80" s="33">
        <f t="shared" si="27"/>
        <v>0.191825364159147</v>
      </c>
      <c r="M80" s="32">
        <f t="shared" si="27"/>
        <v>0.21431549743550277</v>
      </c>
      <c r="N80" s="34">
        <f t="shared" si="27"/>
        <v>8.2598523756345257E-2</v>
      </c>
      <c r="O80" s="33">
        <f t="shared" si="27"/>
        <v>0.10577105195377713</v>
      </c>
      <c r="P80" s="33">
        <f t="shared" si="27"/>
        <v>0.16383877203746156</v>
      </c>
      <c r="Q80" s="32">
        <f t="shared" si="27"/>
        <v>0.21461962152124581</v>
      </c>
      <c r="R80" s="33">
        <f t="shared" si="27"/>
        <v>5.030667860910442E-2</v>
      </c>
      <c r="S80" s="33">
        <f t="shared" si="27"/>
        <v>0.12760047737126329</v>
      </c>
      <c r="T80" s="33">
        <f t="shared" si="27"/>
        <v>0.13481808258971795</v>
      </c>
      <c r="U80" s="32">
        <f t="shared" si="27"/>
        <v>0.15520412247320797</v>
      </c>
      <c r="V80" s="9"/>
      <c r="W80" s="9"/>
    </row>
    <row r="81" spans="1:23" x14ac:dyDescent="0.2">
      <c r="A81" s="20" t="s">
        <v>47</v>
      </c>
      <c r="B81" s="34">
        <f t="shared" si="27"/>
        <v>0.84346641440386549</v>
      </c>
      <c r="C81" s="33">
        <f t="shared" si="27"/>
        <v>1.021949411097103</v>
      </c>
      <c r="D81" s="33">
        <f t="shared" si="27"/>
        <v>1.2597801735944165</v>
      </c>
      <c r="E81" s="32">
        <f t="shared" si="27"/>
        <v>1.2206624486570226</v>
      </c>
      <c r="F81" s="33">
        <f t="shared" si="27"/>
        <v>0.90791980314920651</v>
      </c>
      <c r="G81" s="9">
        <f t="shared" si="27"/>
        <v>1.0745072952274006</v>
      </c>
      <c r="H81" s="9">
        <f t="shared" si="27"/>
        <v>1.4038259376440132</v>
      </c>
      <c r="I81" s="32">
        <f t="shared" si="27"/>
        <v>1.1215181997226233</v>
      </c>
      <c r="J81" s="34">
        <f t="shared" si="27"/>
        <v>0.8796631441525915</v>
      </c>
      <c r="K81" s="33">
        <f t="shared" si="27"/>
        <v>1.0340715527625142</v>
      </c>
      <c r="L81" s="33">
        <f t="shared" si="27"/>
        <v>1.1603196988801163</v>
      </c>
      <c r="M81" s="32">
        <f t="shared" si="27"/>
        <v>1.1880219869988529</v>
      </c>
      <c r="N81" s="34">
        <f t="shared" si="27"/>
        <v>0.91433584143509183</v>
      </c>
      <c r="O81" s="33">
        <f t="shared" si="27"/>
        <v>1.1636638572701612</v>
      </c>
      <c r="P81" s="33">
        <f t="shared" si="27"/>
        <v>1.1628723443993305</v>
      </c>
      <c r="Q81" s="32">
        <f t="shared" si="27"/>
        <v>1.0788956992387604</v>
      </c>
      <c r="R81" s="33">
        <f t="shared" si="27"/>
        <v>0.78054035570980984</v>
      </c>
      <c r="S81" s="33">
        <f t="shared" si="27"/>
        <v>1.155412573619008</v>
      </c>
      <c r="T81" s="33">
        <f t="shared" si="27"/>
        <v>1.1235524149091562</v>
      </c>
      <c r="U81" s="32">
        <f t="shared" si="27"/>
        <v>1.0986376341767743</v>
      </c>
      <c r="V81" s="9"/>
      <c r="W81" s="9"/>
    </row>
    <row r="82" spans="1:23" x14ac:dyDescent="0.2">
      <c r="A82" s="20" t="s">
        <v>48</v>
      </c>
      <c r="B82" s="34">
        <f t="shared" si="27"/>
        <v>3.6149622506538193E-2</v>
      </c>
      <c r="C82" s="33">
        <f t="shared" si="27"/>
        <v>4.6894506499932036E-2</v>
      </c>
      <c r="D82" s="33">
        <f t="shared" si="27"/>
        <v>7.1095072342694729E-2</v>
      </c>
      <c r="E82" s="32">
        <f t="shared" si="27"/>
        <v>0.10595527725305347</v>
      </c>
      <c r="F82" s="33">
        <f t="shared" si="27"/>
        <v>3.3396013596062819E-2</v>
      </c>
      <c r="G82" s="9">
        <f t="shared" si="27"/>
        <v>5.6203032433718672E-2</v>
      </c>
      <c r="H82" s="9">
        <f t="shared" si="27"/>
        <v>0.29149356102007296</v>
      </c>
      <c r="I82" s="32">
        <f t="shared" si="27"/>
        <v>0.26847114248592702</v>
      </c>
      <c r="J82" s="34">
        <f t="shared" si="27"/>
        <v>2.7020646885577315E-2</v>
      </c>
      <c r="K82" s="33">
        <f t="shared" si="27"/>
        <v>4.3511070638200519E-2</v>
      </c>
      <c r="L82" s="33">
        <f t="shared" si="27"/>
        <v>6.5518782361651914E-2</v>
      </c>
      <c r="M82" s="32">
        <f t="shared" si="27"/>
        <v>5.7872852086646456E-2</v>
      </c>
      <c r="N82" s="34">
        <f t="shared" si="27"/>
        <v>2.6499595066073672E-2</v>
      </c>
      <c r="O82" s="33">
        <f t="shared" si="27"/>
        <v>4.9118530892484101E-2</v>
      </c>
      <c r="P82" s="33">
        <f t="shared" si="27"/>
        <v>6.585024349808738E-2</v>
      </c>
      <c r="Q82" s="32">
        <f t="shared" si="27"/>
        <v>4.9435160101210587E-2</v>
      </c>
      <c r="R82" s="33">
        <f t="shared" si="27"/>
        <v>2.2230441849668891E-2</v>
      </c>
      <c r="S82" s="33">
        <f t="shared" si="27"/>
        <v>4.8286063195917481E-2</v>
      </c>
      <c r="T82" s="33">
        <f t="shared" si="27"/>
        <v>6.0071074077657646E-2</v>
      </c>
      <c r="U82" s="32">
        <f t="shared" si="27"/>
        <v>4.6093260151875724E-2</v>
      </c>
      <c r="V82" s="9"/>
      <c r="W82" s="9"/>
    </row>
    <row r="83" spans="1:23" x14ac:dyDescent="0.2">
      <c r="A83" s="26" t="s">
        <v>49</v>
      </c>
      <c r="B83" s="37">
        <f t="shared" si="27"/>
        <v>4.0056290927046045E-2</v>
      </c>
      <c r="C83" s="61">
        <f t="shared" si="27"/>
        <v>7.9811752603931307E-2</v>
      </c>
      <c r="D83" s="61">
        <f t="shared" si="27"/>
        <v>0.14419587844995932</v>
      </c>
      <c r="E83" s="62">
        <f t="shared" si="27"/>
        <v>0.17502359510951168</v>
      </c>
      <c r="F83" s="61">
        <f t="shared" si="27"/>
        <v>3.6867849659056498E-2</v>
      </c>
      <c r="G83" s="28">
        <f t="shared" si="27"/>
        <v>0.12936557872043736</v>
      </c>
      <c r="H83" s="28">
        <f t="shared" si="27"/>
        <v>0.16737047335114777</v>
      </c>
      <c r="I83" s="62">
        <f t="shared" si="27"/>
        <v>9.1036786363992317E-2</v>
      </c>
      <c r="J83" s="37">
        <f t="shared" si="27"/>
        <v>3.820866159819105E-2</v>
      </c>
      <c r="K83" s="61">
        <f t="shared" si="27"/>
        <v>8.5045504036282027E-2</v>
      </c>
      <c r="L83" s="61">
        <f t="shared" si="27"/>
        <v>9.6395648270622053E-2</v>
      </c>
      <c r="M83" s="62">
        <f t="shared" si="27"/>
        <v>9.4591152316880964E-2</v>
      </c>
      <c r="N83" s="37">
        <f t="shared" si="27"/>
        <v>3.7433833699664111E-2</v>
      </c>
      <c r="O83" s="61">
        <f t="shared" si="27"/>
        <v>4.4937029205060618E-2</v>
      </c>
      <c r="P83" s="61">
        <f t="shared" si="27"/>
        <v>0.12521660810549179</v>
      </c>
      <c r="Q83" s="62">
        <f t="shared" si="27"/>
        <v>0.115114709124314</v>
      </c>
      <c r="R83" s="61">
        <f t="shared" si="27"/>
        <v>3.1782952884298832E-2</v>
      </c>
      <c r="S83" s="61">
        <f t="shared" si="27"/>
        <v>0.13909514095204767</v>
      </c>
      <c r="T83" s="61">
        <f t="shared" si="27"/>
        <v>0.16345578518445497</v>
      </c>
      <c r="U83" s="62">
        <f t="shared" si="27"/>
        <v>0.16816830725973655</v>
      </c>
      <c r="V83" s="9"/>
      <c r="W83" s="9"/>
    </row>
    <row r="84" spans="1:23" x14ac:dyDescent="0.2">
      <c r="A84" s="9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9"/>
      <c r="W84" s="9"/>
    </row>
    <row r="85" spans="1:23" x14ac:dyDescent="0.2">
      <c r="A85" s="9"/>
      <c r="B85" s="9"/>
      <c r="C85" s="9"/>
      <c r="D85" s="9"/>
      <c r="E85" s="33"/>
      <c r="F85" s="9"/>
      <c r="G85" s="9"/>
      <c r="H85" s="9"/>
      <c r="I85" s="33"/>
      <c r="J85" s="9"/>
      <c r="K85" s="9"/>
      <c r="L85" s="9"/>
      <c r="M85" s="33"/>
      <c r="N85" s="9"/>
      <c r="O85" s="9"/>
      <c r="P85" s="9"/>
      <c r="Q85" s="33"/>
      <c r="R85" s="9"/>
      <c r="S85" s="9"/>
      <c r="T85" s="9"/>
      <c r="U85" s="33"/>
      <c r="V85" s="9"/>
      <c r="W85" s="9"/>
    </row>
    <row r="86" spans="1:23" ht="16" x14ac:dyDescent="0.2">
      <c r="A86" s="9"/>
      <c r="B86" s="127" t="s">
        <v>56</v>
      </c>
      <c r="C86" s="127"/>
      <c r="D86" s="127" t="s">
        <v>6</v>
      </c>
      <c r="E86" s="127"/>
      <c r="F86" s="127" t="s">
        <v>7</v>
      </c>
      <c r="G86" s="127"/>
      <c r="H86" s="127" t="s">
        <v>8</v>
      </c>
      <c r="I86" s="127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 spans="1:23" ht="16" x14ac:dyDescent="0.2">
      <c r="A87" s="9"/>
      <c r="B87" s="13" t="s">
        <v>57</v>
      </c>
      <c r="C87" s="13" t="s">
        <v>58</v>
      </c>
      <c r="D87" s="13" t="s">
        <v>57</v>
      </c>
      <c r="E87" s="13" t="s">
        <v>58</v>
      </c>
      <c r="F87" s="13" t="s">
        <v>57</v>
      </c>
      <c r="G87" s="13" t="s">
        <v>58</v>
      </c>
      <c r="H87" s="13" t="s">
        <v>57</v>
      </c>
      <c r="I87" s="13" t="s">
        <v>58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 spans="1:23" x14ac:dyDescent="0.2">
      <c r="A88" s="15" t="s">
        <v>39</v>
      </c>
      <c r="B88" s="63">
        <f t="shared" ref="B88:B97" si="28">AVERAGE(B74,F74,J74,N74,R74)</f>
        <v>7.7539981859419085E-2</v>
      </c>
      <c r="C88" s="63">
        <f t="shared" ref="C88:C97" si="29">STDEVA(B74,F74,J74,N74,R74)</f>
        <v>1.0070067030249569E-2</v>
      </c>
      <c r="D88" s="63">
        <f t="shared" ref="D88:D97" si="30">AVERAGE(C74,G74,K74,O74,S74)</f>
        <v>0.44643861600594781</v>
      </c>
      <c r="E88" s="63">
        <f t="shared" ref="E88:E97" si="31">STDEVA(C74,G74,K74,O74,S74)</f>
        <v>0.35648627778021236</v>
      </c>
      <c r="F88" s="63">
        <f t="shared" ref="F88:F97" si="32">AVERAGE(D74,H74,L74,P74,T74)</f>
        <v>2.7329133910630263</v>
      </c>
      <c r="G88" s="63">
        <f t="shared" ref="G88:G97" si="33">STDEVA(D74,H74,L74,P74,T74)</f>
        <v>1.1128195276887636</v>
      </c>
      <c r="H88" s="63">
        <f t="shared" ref="H88:H97" si="34">AVERAGE(E74,I74,M74,Q74,U74)</f>
        <v>4.9312078204051852</v>
      </c>
      <c r="I88" s="63">
        <f t="shared" ref="I88:I97" si="35">STDEVA(E74,I74,M74,Q74,U74)</f>
        <v>1.1989593750078094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 spans="1:23" x14ac:dyDescent="0.2">
      <c r="A89" s="20" t="s">
        <v>40</v>
      </c>
      <c r="B89" s="64">
        <f t="shared" si="28"/>
        <v>5.7875711210480338E-2</v>
      </c>
      <c r="C89" s="64">
        <f t="shared" si="29"/>
        <v>9.7690280340296982E-3</v>
      </c>
      <c r="D89" s="64">
        <f t="shared" si="30"/>
        <v>5.5388001216716276E-3</v>
      </c>
      <c r="E89" s="64">
        <f t="shared" si="31"/>
        <v>2.790352668914353E-3</v>
      </c>
      <c r="F89" s="64">
        <f t="shared" si="32"/>
        <v>2.4690997709840325E-2</v>
      </c>
      <c r="G89" s="64">
        <f t="shared" si="33"/>
        <v>1.5309024991467697E-2</v>
      </c>
      <c r="H89" s="64">
        <f t="shared" si="34"/>
        <v>2.9586165010049615E-2</v>
      </c>
      <c r="I89" s="64">
        <f t="shared" si="35"/>
        <v>1.1900863054731921E-2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 spans="1:23" x14ac:dyDescent="0.2">
      <c r="A90" s="20" t="s">
        <v>41</v>
      </c>
      <c r="B90" s="64">
        <f t="shared" si="28"/>
        <v>2.7032161674114302E-2</v>
      </c>
      <c r="C90" s="64">
        <f t="shared" si="29"/>
        <v>3.898357934378701E-2</v>
      </c>
      <c r="D90" s="64">
        <f t="shared" si="30"/>
        <v>0.18094073140019107</v>
      </c>
      <c r="E90" s="64">
        <f t="shared" si="31"/>
        <v>0.11146165749657376</v>
      </c>
      <c r="F90" s="64">
        <f t="shared" si="32"/>
        <v>0.85801565210627917</v>
      </c>
      <c r="G90" s="64">
        <f t="shared" si="33"/>
        <v>0.67858496032017956</v>
      </c>
      <c r="H90" s="64">
        <f t="shared" si="34"/>
        <v>1.4312986033043487</v>
      </c>
      <c r="I90" s="64">
        <f t="shared" si="35"/>
        <v>0.77785040733905075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 spans="1:23" x14ac:dyDescent="0.2">
      <c r="A91" s="20" t="s">
        <v>42</v>
      </c>
      <c r="B91" s="64">
        <f t="shared" si="28"/>
        <v>0.22688512776118869</v>
      </c>
      <c r="C91" s="64">
        <f t="shared" si="29"/>
        <v>5.0954893016052612E-2</v>
      </c>
      <c r="D91" s="64">
        <f t="shared" si="30"/>
        <v>0.56506350374105807</v>
      </c>
      <c r="E91" s="64">
        <f t="shared" si="31"/>
        <v>0.21341596246867342</v>
      </c>
      <c r="F91" s="64">
        <f t="shared" si="32"/>
        <v>0.51922755068284332</v>
      </c>
      <c r="G91" s="64">
        <f t="shared" si="33"/>
        <v>0.32073170643422177</v>
      </c>
      <c r="H91" s="64">
        <f t="shared" si="34"/>
        <v>0.48143383043759203</v>
      </c>
      <c r="I91" s="64">
        <f t="shared" si="35"/>
        <v>0.30474915045143613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 spans="1:23" x14ac:dyDescent="0.2">
      <c r="A92" s="20" t="s">
        <v>43</v>
      </c>
      <c r="B92" s="64">
        <f t="shared" si="28"/>
        <v>3.3091282910097136E-2</v>
      </c>
      <c r="C92" s="64">
        <f t="shared" si="29"/>
        <v>1.4753631095777089E-2</v>
      </c>
      <c r="D92" s="64">
        <f t="shared" si="30"/>
        <v>5.747901829935842E-2</v>
      </c>
      <c r="E92" s="64">
        <f t="shared" si="31"/>
        <v>2.6753209761214102E-2</v>
      </c>
      <c r="F92" s="64">
        <f t="shared" si="32"/>
        <v>5.8085520029901597E-2</v>
      </c>
      <c r="G92" s="64">
        <f t="shared" si="33"/>
        <v>3.8277459769154018E-2</v>
      </c>
      <c r="H92" s="64">
        <f t="shared" si="34"/>
        <v>5.870490854328133E-2</v>
      </c>
      <c r="I92" s="64">
        <f t="shared" si="35"/>
        <v>1.6356228414809264E-2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 spans="1:23" x14ac:dyDescent="0.2">
      <c r="A93" s="20" t="s">
        <v>44</v>
      </c>
      <c r="B93" s="64">
        <f t="shared" si="28"/>
        <v>3.5397593941995195E-2</v>
      </c>
      <c r="C93" s="64">
        <f t="shared" si="29"/>
        <v>1.6889741247641143E-2</v>
      </c>
      <c r="D93" s="64">
        <f t="shared" si="30"/>
        <v>0.26021462654798022</v>
      </c>
      <c r="E93" s="64">
        <f t="shared" si="31"/>
        <v>9.9699049916643703E-2</v>
      </c>
      <c r="F93" s="64">
        <f t="shared" si="32"/>
        <v>0.19652280441590514</v>
      </c>
      <c r="G93" s="64">
        <f t="shared" si="33"/>
        <v>4.633452647405216E-2</v>
      </c>
      <c r="H93" s="64">
        <f t="shared" si="34"/>
        <v>0.19047909971807941</v>
      </c>
      <c r="I93" s="64">
        <f t="shared" si="35"/>
        <v>0.10169524042706765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 spans="1:23" x14ac:dyDescent="0.2">
      <c r="A94" s="20" t="s">
        <v>45</v>
      </c>
      <c r="B94" s="64">
        <f t="shared" si="28"/>
        <v>6.8149546536168032E-2</v>
      </c>
      <c r="C94" s="64">
        <f t="shared" si="29"/>
        <v>1.2798949303193511E-2</v>
      </c>
      <c r="D94" s="64">
        <f t="shared" si="30"/>
        <v>0.12073085742765248</v>
      </c>
      <c r="E94" s="64">
        <f t="shared" si="31"/>
        <v>1.7985260067232074E-2</v>
      </c>
      <c r="F94" s="64">
        <f t="shared" si="32"/>
        <v>0.16744234776024386</v>
      </c>
      <c r="G94" s="64">
        <f t="shared" si="33"/>
        <v>4.6014434385545248E-2</v>
      </c>
      <c r="H94" s="64">
        <f t="shared" si="34"/>
        <v>0.20054095715060627</v>
      </c>
      <c r="I94" s="64">
        <f t="shared" si="35"/>
        <v>8.0133123565884784E-2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 spans="1:23" x14ac:dyDescent="0.2">
      <c r="A95" s="20" t="s">
        <v>47</v>
      </c>
      <c r="B95" s="64">
        <f t="shared" si="28"/>
        <v>0.86518511177011315</v>
      </c>
      <c r="C95" s="64">
        <f t="shared" si="29"/>
        <v>5.4972943434314053E-2</v>
      </c>
      <c r="D95" s="64">
        <f t="shared" si="30"/>
        <v>1.0899209379952375</v>
      </c>
      <c r="E95" s="64">
        <f t="shared" si="31"/>
        <v>6.6528255581700155E-2</v>
      </c>
      <c r="F95" s="64">
        <f t="shared" si="32"/>
        <v>1.2220701138854064</v>
      </c>
      <c r="G95" s="64">
        <f t="shared" si="33"/>
        <v>0.11344652347081202</v>
      </c>
      <c r="H95" s="64">
        <f t="shared" si="34"/>
        <v>1.1415471937588069</v>
      </c>
      <c r="I95" s="64">
        <f t="shared" si="35"/>
        <v>6.0387769116633953E-2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 spans="1:23" x14ac:dyDescent="0.2">
      <c r="A96" s="20" t="s">
        <v>48</v>
      </c>
      <c r="B96" s="64">
        <f t="shared" si="28"/>
        <v>2.9059263980784178E-2</v>
      </c>
      <c r="C96" s="64">
        <f t="shared" si="29"/>
        <v>5.6218604029619618E-3</v>
      </c>
      <c r="D96" s="64">
        <f t="shared" si="30"/>
        <v>4.880264073205056E-2</v>
      </c>
      <c r="E96" s="64">
        <f t="shared" si="31"/>
        <v>4.6576315490902929E-3</v>
      </c>
      <c r="F96" s="64">
        <f t="shared" si="32"/>
        <v>0.11080574666003293</v>
      </c>
      <c r="G96" s="64">
        <f t="shared" si="33"/>
        <v>0.1010828092641045</v>
      </c>
      <c r="H96" s="64">
        <f t="shared" si="34"/>
        <v>0.10556553841574265</v>
      </c>
      <c r="I96" s="64">
        <f t="shared" si="35"/>
        <v>9.4207949922957446E-2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 spans="1:23" x14ac:dyDescent="0.2">
      <c r="A97" s="26" t="s">
        <v>49</v>
      </c>
      <c r="B97" s="65">
        <f t="shared" si="28"/>
        <v>3.6869917753651303E-2</v>
      </c>
      <c r="C97" s="65">
        <f t="shared" si="29"/>
        <v>3.0878967815744637E-3</v>
      </c>
      <c r="D97" s="65">
        <f t="shared" si="30"/>
        <v>9.5651001103551792E-2</v>
      </c>
      <c r="E97" s="65">
        <f t="shared" si="31"/>
        <v>3.8598352742889877E-2</v>
      </c>
      <c r="F97" s="65">
        <f t="shared" si="32"/>
        <v>0.13932687867233517</v>
      </c>
      <c r="G97" s="65">
        <f t="shared" si="33"/>
        <v>2.9302494646741013E-2</v>
      </c>
      <c r="H97" s="65">
        <f t="shared" si="34"/>
        <v>0.1287869100348871</v>
      </c>
      <c r="I97" s="65">
        <f t="shared" si="35"/>
        <v>4.0218392107613285E-2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 spans="1:23" x14ac:dyDescent="0.2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 spans="1:23" x14ac:dyDescent="0.2">
      <c r="A99" s="66" t="s">
        <v>59</v>
      </c>
      <c r="B99" s="67">
        <f>SUM(B90:B92)</f>
        <v>0.28700857234540011</v>
      </c>
      <c r="C99" s="67">
        <f>AVERAGE(C88:C97)</f>
        <v>2.1790258968958108E-2</v>
      </c>
      <c r="D99" s="67">
        <f>SUM(D90:D92)</f>
        <v>0.80348325344060756</v>
      </c>
      <c r="E99" s="67">
        <f>AVERAGE(E88:E97)</f>
        <v>9.3837601003314425E-2</v>
      </c>
      <c r="F99" s="67">
        <f>SUM(F90:F92)</f>
        <v>1.4353287228190239</v>
      </c>
      <c r="G99" s="67">
        <f>AVERAGE(G88:G97)</f>
        <v>0.25019034674450419</v>
      </c>
      <c r="H99" s="67">
        <f>SUM(H90:H92)</f>
        <v>1.971437342285222</v>
      </c>
      <c r="I99" s="67">
        <f>AVERAGE(I88:I97)</f>
        <v>0.26864584994079943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 spans="1:23" x14ac:dyDescent="0.2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</sheetData>
  <mergeCells count="7">
    <mergeCell ref="B24:U24"/>
    <mergeCell ref="B39:U39"/>
    <mergeCell ref="B72:U72"/>
    <mergeCell ref="B86:C86"/>
    <mergeCell ref="D86:E86"/>
    <mergeCell ref="F86:G86"/>
    <mergeCell ref="H86:I8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7B379-4FC3-4F9C-8556-8F5C9E32EDB3}">
  <dimension ref="A1:U104"/>
  <sheetViews>
    <sheetView topLeftCell="E103" zoomScale="75" zoomScaleNormal="100" workbookViewId="0">
      <selection activeCell="D121" sqref="D121"/>
    </sheetView>
  </sheetViews>
  <sheetFormatPr baseColWidth="10" defaultColWidth="9.1640625" defaultRowHeight="15" x14ac:dyDescent="0.2"/>
  <cols>
    <col min="1" max="1" width="15.83203125" bestFit="1" customWidth="1"/>
    <col min="2" max="2" width="19.6640625" customWidth="1"/>
    <col min="3" max="3" width="18.1640625" customWidth="1"/>
    <col min="4" max="4" width="18.6640625" customWidth="1"/>
    <col min="5" max="5" width="18.5" customWidth="1"/>
    <col min="6" max="6" width="18.1640625" customWidth="1"/>
    <col min="7" max="7" width="18.83203125" customWidth="1"/>
    <col min="8" max="8" width="18.6640625" customWidth="1"/>
    <col min="9" max="9" width="18" customWidth="1"/>
    <col min="10" max="10" width="19.1640625" customWidth="1"/>
    <col min="11" max="11" width="18.5" customWidth="1"/>
    <col min="12" max="13" width="18.6640625" customWidth="1"/>
    <col min="14" max="14" width="18.1640625" customWidth="1"/>
    <col min="15" max="16" width="18.5" customWidth="1"/>
    <col min="17" max="17" width="19" customWidth="1"/>
    <col min="18" max="19" width="18.5" customWidth="1"/>
    <col min="20" max="20" width="18.33203125" customWidth="1"/>
    <col min="21" max="21" width="18" customWidth="1"/>
  </cols>
  <sheetData>
    <row r="1" spans="1:9" x14ac:dyDescent="0.2">
      <c r="B1" s="119" t="s">
        <v>60</v>
      </c>
      <c r="C1" s="119"/>
      <c r="D1" s="119"/>
      <c r="E1" s="119"/>
      <c r="F1" s="119"/>
      <c r="G1" s="119"/>
      <c r="H1" s="119"/>
      <c r="I1" s="119"/>
    </row>
    <row r="2" spans="1:9" x14ac:dyDescent="0.2">
      <c r="B2" s="119" t="s">
        <v>56</v>
      </c>
      <c r="C2" s="119"/>
      <c r="D2" s="119" t="s">
        <v>6</v>
      </c>
      <c r="E2" s="119"/>
      <c r="F2" s="119" t="s">
        <v>7</v>
      </c>
      <c r="G2" s="119"/>
      <c r="H2" s="119" t="s">
        <v>8</v>
      </c>
      <c r="I2" s="119"/>
    </row>
    <row r="3" spans="1:9" x14ac:dyDescent="0.2">
      <c r="B3" s="3" t="s">
        <v>57</v>
      </c>
      <c r="C3" s="3" t="s">
        <v>58</v>
      </c>
      <c r="D3" s="3" t="s">
        <v>57</v>
      </c>
      <c r="E3" s="3" t="s">
        <v>58</v>
      </c>
      <c r="F3" s="3" t="s">
        <v>57</v>
      </c>
      <c r="G3" s="3" t="s">
        <v>58</v>
      </c>
      <c r="H3" s="3" t="s">
        <v>57</v>
      </c>
      <c r="I3" s="3" t="s">
        <v>58</v>
      </c>
    </row>
    <row r="4" spans="1:9" x14ac:dyDescent="0.2">
      <c r="A4" s="80" t="s">
        <v>9</v>
      </c>
      <c r="B4" s="81">
        <v>7.7539981859419085E-2</v>
      </c>
      <c r="C4" s="82">
        <v>1.0070067030249569E-2</v>
      </c>
      <c r="D4" s="81">
        <v>9.1963377783363637E-2</v>
      </c>
      <c r="E4" s="82">
        <v>1.7024933449047597E-2</v>
      </c>
      <c r="F4" s="81">
        <v>6.7231227768558693E-2</v>
      </c>
      <c r="G4" s="82">
        <v>2.7552651779902529E-2</v>
      </c>
      <c r="H4" s="81">
        <v>5.8014879783397331E-2</v>
      </c>
      <c r="I4" s="82">
        <v>5.1764347411896339E-2</v>
      </c>
    </row>
    <row r="5" spans="1:9" x14ac:dyDescent="0.2">
      <c r="A5" s="80" t="s">
        <v>71</v>
      </c>
      <c r="B5" s="83">
        <v>7.7539981859419085E-2</v>
      </c>
      <c r="C5" s="84">
        <v>1.0070067030249569E-2</v>
      </c>
      <c r="D5" s="83">
        <v>1.2198723280253958</v>
      </c>
      <c r="E5" s="84">
        <v>0.45126291051291556</v>
      </c>
      <c r="F5" s="83">
        <v>2.4170084002420422</v>
      </c>
      <c r="G5" s="84">
        <v>0.95371974640406221</v>
      </c>
      <c r="H5" s="83">
        <v>2.8363824172302965</v>
      </c>
      <c r="I5" s="84">
        <v>1.4931089114432148</v>
      </c>
    </row>
    <row r="6" spans="1:9" x14ac:dyDescent="0.2">
      <c r="A6" s="80" t="s">
        <v>72</v>
      </c>
      <c r="B6" s="83">
        <v>7.7539981859419085E-2</v>
      </c>
      <c r="C6" s="84">
        <v>1.0070067030249569E-2</v>
      </c>
      <c r="D6" s="83">
        <v>1.1586689133621211</v>
      </c>
      <c r="E6" s="84">
        <v>0.49860313629102904</v>
      </c>
      <c r="F6" s="83">
        <v>2.0318276860678832</v>
      </c>
      <c r="G6" s="84">
        <v>1.1014012409192051</v>
      </c>
      <c r="H6" s="83">
        <v>2.9337772129212509</v>
      </c>
      <c r="I6" s="84">
        <v>1.4813958017005238</v>
      </c>
    </row>
    <row r="7" spans="1:9" x14ac:dyDescent="0.2">
      <c r="A7" s="80" t="s">
        <v>78</v>
      </c>
      <c r="B7" s="83">
        <v>7.7539981859419085E-2</v>
      </c>
      <c r="C7" s="84">
        <v>1.0070067030249569E-2</v>
      </c>
      <c r="D7" s="83">
        <v>0.79777854752799549</v>
      </c>
      <c r="E7" s="84">
        <v>0.53833984317834704</v>
      </c>
      <c r="F7" s="83">
        <v>3.304762090613965</v>
      </c>
      <c r="G7" s="84">
        <v>0.97618547296266045</v>
      </c>
      <c r="H7" s="83">
        <v>4.6834685777323042</v>
      </c>
      <c r="I7" s="84">
        <v>1.4540283707436596</v>
      </c>
    </row>
    <row r="8" spans="1:9" x14ac:dyDescent="0.2">
      <c r="A8" s="80" t="s">
        <v>77</v>
      </c>
      <c r="B8" s="85">
        <v>7.7539981859419085E-2</v>
      </c>
      <c r="C8" s="86">
        <v>1.0070067030249569E-2</v>
      </c>
      <c r="D8" s="85">
        <v>0.44643861600594781</v>
      </c>
      <c r="E8" s="86">
        <v>0.35648627778021236</v>
      </c>
      <c r="F8" s="85">
        <v>2.7329133910630263</v>
      </c>
      <c r="G8" s="86">
        <v>1.1128195276887636</v>
      </c>
      <c r="H8" s="85">
        <v>4.9312078204051852</v>
      </c>
      <c r="I8" s="86">
        <v>1.1989593750078094</v>
      </c>
    </row>
    <row r="10" spans="1:9" x14ac:dyDescent="0.2">
      <c r="B10" s="119" t="s">
        <v>62</v>
      </c>
      <c r="C10" s="119"/>
      <c r="D10" s="119"/>
      <c r="E10" s="119"/>
      <c r="F10" s="119"/>
      <c r="G10" s="119"/>
      <c r="H10" s="119"/>
      <c r="I10" s="119"/>
    </row>
    <row r="11" spans="1:9" x14ac:dyDescent="0.2">
      <c r="B11" s="119" t="s">
        <v>56</v>
      </c>
      <c r="C11" s="119"/>
      <c r="D11" s="119" t="s">
        <v>6</v>
      </c>
      <c r="E11" s="119"/>
      <c r="F11" s="119" t="s">
        <v>7</v>
      </c>
      <c r="G11" s="119"/>
      <c r="H11" s="119" t="s">
        <v>8</v>
      </c>
      <c r="I11" s="119"/>
    </row>
    <row r="12" spans="1:9" x14ac:dyDescent="0.2">
      <c r="B12" s="3" t="s">
        <v>57</v>
      </c>
      <c r="C12" s="3" t="s">
        <v>58</v>
      </c>
      <c r="D12" s="3" t="s">
        <v>57</v>
      </c>
      <c r="E12" s="3" t="s">
        <v>58</v>
      </c>
      <c r="F12" s="3" t="s">
        <v>57</v>
      </c>
      <c r="G12" s="3" t="s">
        <v>58</v>
      </c>
      <c r="H12" s="3" t="s">
        <v>57</v>
      </c>
      <c r="I12" s="3" t="s">
        <v>58</v>
      </c>
    </row>
    <row r="13" spans="1:9" x14ac:dyDescent="0.2">
      <c r="A13" s="80" t="s">
        <v>9</v>
      </c>
      <c r="B13" s="81">
        <v>5.7875711210480338E-2</v>
      </c>
      <c r="C13" s="82">
        <v>9.7690280340296982E-3</v>
      </c>
      <c r="D13" s="81">
        <v>9.7153633863631295E-2</v>
      </c>
      <c r="E13" s="82">
        <v>2.641408056679552E-2</v>
      </c>
      <c r="F13" s="81">
        <v>0.10256882239603818</v>
      </c>
      <c r="G13" s="82">
        <v>4.2028158533818617E-2</v>
      </c>
      <c r="H13" s="81">
        <v>5.1745803066665388E-2</v>
      </c>
      <c r="I13" s="82">
        <v>5.9098516274629712E-3</v>
      </c>
    </row>
    <row r="14" spans="1:9" x14ac:dyDescent="0.2">
      <c r="A14" s="80" t="s">
        <v>71</v>
      </c>
      <c r="B14" s="83">
        <v>5.7875711210480338E-2</v>
      </c>
      <c r="C14" s="84">
        <v>9.7690280340296982E-3</v>
      </c>
      <c r="D14" s="83">
        <v>0.1263444231532822</v>
      </c>
      <c r="E14" s="84">
        <v>6.356464046710418E-2</v>
      </c>
      <c r="F14" s="83">
        <v>0.13976192472950194</v>
      </c>
      <c r="G14" s="84">
        <v>6.0328652735249046E-2</v>
      </c>
      <c r="H14" s="83">
        <v>0.16154292734565218</v>
      </c>
      <c r="I14" s="84">
        <v>1.2259258715483633E-2</v>
      </c>
    </row>
    <row r="15" spans="1:9" x14ac:dyDescent="0.2">
      <c r="A15" s="80" t="s">
        <v>72</v>
      </c>
      <c r="B15" s="83">
        <v>5.7875711210480338E-2</v>
      </c>
      <c r="C15" s="84">
        <v>9.7690280340296982E-3</v>
      </c>
      <c r="D15" s="83">
        <v>8.77808566960223E-2</v>
      </c>
      <c r="E15" s="84">
        <v>4.7840004165469914E-2</v>
      </c>
      <c r="F15" s="83">
        <v>0.11521772179033136</v>
      </c>
      <c r="G15" s="84">
        <v>2.8215518280556306E-2</v>
      </c>
      <c r="H15" s="83">
        <v>0.12386815959690436</v>
      </c>
      <c r="I15" s="84">
        <v>4.8217428296088577E-2</v>
      </c>
    </row>
    <row r="16" spans="1:9" x14ac:dyDescent="0.2">
      <c r="A16" s="80" t="s">
        <v>78</v>
      </c>
      <c r="B16" s="83">
        <v>5.7875711210480338E-2</v>
      </c>
      <c r="C16" s="84">
        <v>9.7690280340296982E-3</v>
      </c>
      <c r="D16" s="83">
        <v>1.82742119952281E-2</v>
      </c>
      <c r="E16" s="84">
        <v>1.871726598602828E-2</v>
      </c>
      <c r="F16" s="83">
        <v>3.7474841133147252E-2</v>
      </c>
      <c r="G16" s="84">
        <v>8.9969758218490826E-3</v>
      </c>
      <c r="H16" s="83">
        <v>8.5905220086596359E-2</v>
      </c>
      <c r="I16" s="84">
        <v>4.5578406834324819E-2</v>
      </c>
    </row>
    <row r="17" spans="1:9" x14ac:dyDescent="0.2">
      <c r="A17" s="80" t="s">
        <v>77</v>
      </c>
      <c r="B17" s="85">
        <v>5.7875711210480338E-2</v>
      </c>
      <c r="C17" s="86">
        <v>9.7690280340296982E-3</v>
      </c>
      <c r="D17" s="85">
        <v>5.5388001216716276E-3</v>
      </c>
      <c r="E17" s="86">
        <v>2.790352668914353E-3</v>
      </c>
      <c r="F17" s="85">
        <v>2.4690997709840325E-2</v>
      </c>
      <c r="G17" s="86">
        <v>1.5309024991467697E-2</v>
      </c>
      <c r="H17" s="85">
        <v>2.9586165010049615E-2</v>
      </c>
      <c r="I17" s="86">
        <v>1.1900863054731921E-2</v>
      </c>
    </row>
    <row r="19" spans="1:9" x14ac:dyDescent="0.2">
      <c r="B19" s="119" t="s">
        <v>63</v>
      </c>
      <c r="C19" s="119"/>
      <c r="D19" s="119"/>
      <c r="E19" s="119"/>
      <c r="F19" s="119"/>
      <c r="G19" s="119"/>
      <c r="H19" s="119"/>
      <c r="I19" s="119"/>
    </row>
    <row r="20" spans="1:9" x14ac:dyDescent="0.2">
      <c r="B20" s="119" t="s">
        <v>56</v>
      </c>
      <c r="C20" s="119"/>
      <c r="D20" s="119" t="s">
        <v>6</v>
      </c>
      <c r="E20" s="119"/>
      <c r="F20" s="119" t="s">
        <v>7</v>
      </c>
      <c r="G20" s="119"/>
      <c r="H20" s="119" t="s">
        <v>8</v>
      </c>
      <c r="I20" s="119"/>
    </row>
    <row r="21" spans="1:9" x14ac:dyDescent="0.2">
      <c r="B21" s="3" t="s">
        <v>57</v>
      </c>
      <c r="C21" s="3" t="s">
        <v>58</v>
      </c>
      <c r="D21" s="3" t="s">
        <v>57</v>
      </c>
      <c r="E21" s="3" t="s">
        <v>58</v>
      </c>
      <c r="F21" s="3" t="s">
        <v>57</v>
      </c>
      <c r="G21" s="3" t="s">
        <v>58</v>
      </c>
      <c r="H21" s="3" t="s">
        <v>57</v>
      </c>
      <c r="I21" s="3" t="s">
        <v>58</v>
      </c>
    </row>
    <row r="22" spans="1:9" x14ac:dyDescent="0.2">
      <c r="A22" s="80" t="s">
        <v>9</v>
      </c>
      <c r="B22" s="81">
        <v>2.7032161674114302E-2</v>
      </c>
      <c r="C22" s="82">
        <v>3.898357934378701E-2</v>
      </c>
      <c r="D22" s="81">
        <v>0.21751733465011247</v>
      </c>
      <c r="E22" s="82">
        <v>7.5851877754819053E-2</v>
      </c>
      <c r="F22" s="81">
        <v>0.49536778266311077</v>
      </c>
      <c r="G22" s="82">
        <v>0.1449244311168176</v>
      </c>
      <c r="H22" s="81">
        <v>0.84081768222025721</v>
      </c>
      <c r="I22" s="82">
        <v>0.1592891233259473</v>
      </c>
    </row>
    <row r="23" spans="1:9" x14ac:dyDescent="0.2">
      <c r="A23" s="80" t="s">
        <v>71</v>
      </c>
      <c r="B23" s="83">
        <v>2.7032161674114302E-2</v>
      </c>
      <c r="C23" s="84">
        <v>3.898357934378701E-2</v>
      </c>
      <c r="D23" s="83">
        <v>0.70610656236724234</v>
      </c>
      <c r="E23" s="84">
        <v>0.42502737060029655</v>
      </c>
      <c r="F23" s="83">
        <v>1.550247263043401</v>
      </c>
      <c r="G23" s="84">
        <v>0.85350771416881077</v>
      </c>
      <c r="H23" s="83">
        <v>2.0837804763317953</v>
      </c>
      <c r="I23" s="84">
        <v>0.94900574167575147</v>
      </c>
    </row>
    <row r="24" spans="1:9" x14ac:dyDescent="0.2">
      <c r="A24" s="80" t="s">
        <v>72</v>
      </c>
      <c r="B24" s="83">
        <v>2.7032161674114302E-2</v>
      </c>
      <c r="C24" s="84">
        <v>3.898357934378701E-2</v>
      </c>
      <c r="D24" s="83">
        <v>0.62644468438236989</v>
      </c>
      <c r="E24" s="84">
        <v>0.43553719809404529</v>
      </c>
      <c r="F24" s="83">
        <v>1.1362448175898736</v>
      </c>
      <c r="G24" s="84">
        <v>0.83517565024632057</v>
      </c>
      <c r="H24" s="83">
        <v>1.7536382388051579</v>
      </c>
      <c r="I24" s="84">
        <v>1.2488152589193755</v>
      </c>
    </row>
    <row r="25" spans="1:9" x14ac:dyDescent="0.2">
      <c r="A25" s="80" t="s">
        <v>78</v>
      </c>
      <c r="B25" s="83">
        <v>2.7032161674114302E-2</v>
      </c>
      <c r="C25" s="84">
        <v>3.898357934378701E-2</v>
      </c>
      <c r="D25" s="83">
        <v>0.31157075133808304</v>
      </c>
      <c r="E25" s="84">
        <v>0.15820225656750497</v>
      </c>
      <c r="F25" s="83">
        <v>1.2151568079727013</v>
      </c>
      <c r="G25" s="84">
        <v>0.60890911360666267</v>
      </c>
      <c r="H25" s="83">
        <v>1.3339837273586972</v>
      </c>
      <c r="I25" s="84">
        <v>0.67466204977642408</v>
      </c>
    </row>
    <row r="26" spans="1:9" x14ac:dyDescent="0.2">
      <c r="A26" s="80" t="s">
        <v>77</v>
      </c>
      <c r="B26" s="85">
        <v>2.7032161674114302E-2</v>
      </c>
      <c r="C26" s="86">
        <v>3.898357934378701E-2</v>
      </c>
      <c r="D26" s="85">
        <v>0.18094073140019107</v>
      </c>
      <c r="E26" s="86">
        <v>0.11146165749657376</v>
      </c>
      <c r="F26" s="85">
        <v>0.85801565210627917</v>
      </c>
      <c r="G26" s="86">
        <v>0.67858496032017956</v>
      </c>
      <c r="H26" s="85">
        <v>1.4312986033043487</v>
      </c>
      <c r="I26" s="86">
        <v>0.77785040733905075</v>
      </c>
    </row>
    <row r="28" spans="1:9" x14ac:dyDescent="0.2">
      <c r="B28" s="119" t="s">
        <v>64</v>
      </c>
      <c r="C28" s="119"/>
      <c r="D28" s="119"/>
      <c r="E28" s="119"/>
      <c r="F28" s="119"/>
      <c r="G28" s="119"/>
      <c r="H28" s="119"/>
      <c r="I28" s="119"/>
    </row>
    <row r="29" spans="1:9" x14ac:dyDescent="0.2">
      <c r="B29" s="119" t="s">
        <v>56</v>
      </c>
      <c r="C29" s="119"/>
      <c r="D29" s="119" t="s">
        <v>6</v>
      </c>
      <c r="E29" s="119"/>
      <c r="F29" s="119" t="s">
        <v>7</v>
      </c>
      <c r="G29" s="119"/>
      <c r="H29" s="119" t="s">
        <v>8</v>
      </c>
      <c r="I29" s="119"/>
    </row>
    <row r="30" spans="1:9" x14ac:dyDescent="0.2">
      <c r="B30" s="3" t="s">
        <v>57</v>
      </c>
      <c r="C30" s="3" t="s">
        <v>58</v>
      </c>
      <c r="D30" s="3" t="s">
        <v>57</v>
      </c>
      <c r="E30" s="3" t="s">
        <v>58</v>
      </c>
      <c r="F30" s="3" t="s">
        <v>57</v>
      </c>
      <c r="G30" s="3" t="s">
        <v>58</v>
      </c>
      <c r="H30" s="3" t="s">
        <v>57</v>
      </c>
      <c r="I30" s="3" t="s">
        <v>58</v>
      </c>
    </row>
    <row r="31" spans="1:9" x14ac:dyDescent="0.2">
      <c r="A31" s="80" t="s">
        <v>9</v>
      </c>
      <c r="B31" s="81">
        <v>0.22688512776118869</v>
      </c>
      <c r="C31" s="82">
        <v>5.0954893016052612E-2</v>
      </c>
      <c r="D31" s="81">
        <v>0.2160989366088753</v>
      </c>
      <c r="E31" s="82">
        <v>2.6696521107642885E-2</v>
      </c>
      <c r="F31" s="81">
        <v>0.24014006805316077</v>
      </c>
      <c r="G31" s="82">
        <v>2.2446773111110072E-2</v>
      </c>
      <c r="H31" s="81">
        <v>0.21803383423347658</v>
      </c>
      <c r="I31" s="82">
        <v>6.5209013764045143E-2</v>
      </c>
    </row>
    <row r="32" spans="1:9" x14ac:dyDescent="0.2">
      <c r="A32" s="80" t="s">
        <v>71</v>
      </c>
      <c r="B32" s="83">
        <v>0.22688512776118869</v>
      </c>
      <c r="C32" s="84">
        <v>5.0954893016052612E-2</v>
      </c>
      <c r="D32" s="83">
        <v>0.58122005570415447</v>
      </c>
      <c r="E32" s="84">
        <v>0.22756762991066634</v>
      </c>
      <c r="F32" s="83">
        <v>0.70094538793939443</v>
      </c>
      <c r="G32" s="84">
        <v>0.28081431684003216</v>
      </c>
      <c r="H32" s="83">
        <v>0.70290236139035078</v>
      </c>
      <c r="I32" s="84">
        <v>0.40654359834476628</v>
      </c>
    </row>
    <row r="33" spans="1:9" x14ac:dyDescent="0.2">
      <c r="A33" s="80" t="s">
        <v>72</v>
      </c>
      <c r="B33" s="83">
        <v>0.22688512776118869</v>
      </c>
      <c r="C33" s="84">
        <v>5.0954893016052612E-2</v>
      </c>
      <c r="D33" s="83">
        <v>0.62823568209327463</v>
      </c>
      <c r="E33" s="84">
        <v>7.7864002912109612E-2</v>
      </c>
      <c r="F33" s="83">
        <v>0.72075807335207953</v>
      </c>
      <c r="G33" s="84">
        <v>0.15999999917839491</v>
      </c>
      <c r="H33" s="83">
        <v>0.85505358303686418</v>
      </c>
      <c r="I33" s="84">
        <v>0.32848172776190782</v>
      </c>
    </row>
    <row r="34" spans="1:9" x14ac:dyDescent="0.2">
      <c r="A34" s="80" t="s">
        <v>78</v>
      </c>
      <c r="B34" s="83">
        <v>0.22688512776118869</v>
      </c>
      <c r="C34" s="84">
        <v>5.0954893016052612E-2</v>
      </c>
      <c r="D34" s="83">
        <v>0.60069820031494869</v>
      </c>
      <c r="E34" s="84">
        <v>0.27676244198696442</v>
      </c>
      <c r="F34" s="83">
        <v>0.79729426977573337</v>
      </c>
      <c r="G34" s="84">
        <v>0.41091186128061341</v>
      </c>
      <c r="H34" s="83">
        <v>0.75660883521131983</v>
      </c>
      <c r="I34" s="84">
        <v>0.48556353294202387</v>
      </c>
    </row>
    <row r="35" spans="1:9" x14ac:dyDescent="0.2">
      <c r="A35" s="80" t="s">
        <v>77</v>
      </c>
      <c r="B35" s="85">
        <v>0.22688512776118869</v>
      </c>
      <c r="C35" s="86">
        <v>5.0954893016052612E-2</v>
      </c>
      <c r="D35" s="85">
        <v>0.56506350374105807</v>
      </c>
      <c r="E35" s="86">
        <v>0.21341596246867342</v>
      </c>
      <c r="F35" s="85">
        <v>0.51922755068284332</v>
      </c>
      <c r="G35" s="86">
        <v>0.32073170643422177</v>
      </c>
      <c r="H35" s="85">
        <v>0.48143383043759203</v>
      </c>
      <c r="I35" s="86">
        <v>0.30474915045143613</v>
      </c>
    </row>
    <row r="37" spans="1:9" x14ac:dyDescent="0.2">
      <c r="B37" s="119" t="s">
        <v>65</v>
      </c>
      <c r="C37" s="119"/>
      <c r="D37" s="119"/>
      <c r="E37" s="119"/>
      <c r="F37" s="119"/>
      <c r="G37" s="119"/>
      <c r="H37" s="119"/>
      <c r="I37" s="119"/>
    </row>
    <row r="38" spans="1:9" x14ac:dyDescent="0.2">
      <c r="B38" s="119" t="s">
        <v>56</v>
      </c>
      <c r="C38" s="119"/>
      <c r="D38" s="119" t="s">
        <v>6</v>
      </c>
      <c r="E38" s="119"/>
      <c r="F38" s="119" t="s">
        <v>7</v>
      </c>
      <c r="G38" s="119"/>
      <c r="H38" s="119" t="s">
        <v>8</v>
      </c>
      <c r="I38" s="119"/>
    </row>
    <row r="39" spans="1:9" x14ac:dyDescent="0.2">
      <c r="B39" s="3" t="s">
        <v>57</v>
      </c>
      <c r="C39" s="3" t="s">
        <v>58</v>
      </c>
      <c r="D39" s="3" t="s">
        <v>57</v>
      </c>
      <c r="E39" s="3" t="s">
        <v>58</v>
      </c>
      <c r="F39" s="3" t="s">
        <v>57</v>
      </c>
      <c r="G39" s="3" t="s">
        <v>58</v>
      </c>
      <c r="H39" s="3" t="s">
        <v>57</v>
      </c>
      <c r="I39" s="3" t="s">
        <v>58</v>
      </c>
    </row>
    <row r="40" spans="1:9" x14ac:dyDescent="0.2">
      <c r="A40" s="80" t="s">
        <v>9</v>
      </c>
      <c r="B40" s="81">
        <v>3.3091282910097136E-2</v>
      </c>
      <c r="C40" s="82">
        <v>1.4753631095777089E-2</v>
      </c>
      <c r="D40" s="81">
        <v>7.5498807936979648E-2</v>
      </c>
      <c r="E40" s="82">
        <v>1.8601202825080498E-2</v>
      </c>
      <c r="F40" s="81">
        <v>7.4298726117030339E-2</v>
      </c>
      <c r="G40" s="82">
        <v>1.0689919699588197E-2</v>
      </c>
      <c r="H40" s="81">
        <v>0.13197502006187289</v>
      </c>
      <c r="I40" s="82">
        <v>3.963291263013087E-2</v>
      </c>
    </row>
    <row r="41" spans="1:9" x14ac:dyDescent="0.2">
      <c r="A41" s="80" t="s">
        <v>71</v>
      </c>
      <c r="B41" s="83">
        <v>3.3091282910097136E-2</v>
      </c>
      <c r="C41" s="84">
        <v>1.4753631095777089E-2</v>
      </c>
      <c r="D41" s="83">
        <v>5.2049425371380784E-2</v>
      </c>
      <c r="E41" s="84">
        <v>2.1353131752133964E-2</v>
      </c>
      <c r="F41" s="83">
        <v>4.3241813552860588E-2</v>
      </c>
      <c r="G41" s="84">
        <v>9.1615036348265365E-3</v>
      </c>
      <c r="H41" s="83">
        <v>2.7534883303033542E-2</v>
      </c>
      <c r="I41" s="84">
        <v>7.3830157707792891E-3</v>
      </c>
    </row>
    <row r="42" spans="1:9" x14ac:dyDescent="0.2">
      <c r="A42" s="80" t="s">
        <v>72</v>
      </c>
      <c r="B42" s="83">
        <v>3.3091282910097136E-2</v>
      </c>
      <c r="C42" s="84">
        <v>1.4753631095777089E-2</v>
      </c>
      <c r="D42" s="83">
        <v>5.7545373092088715E-2</v>
      </c>
      <c r="E42" s="84">
        <v>1.5608365828459094E-2</v>
      </c>
      <c r="F42" s="83">
        <v>4.1215644312078706E-2</v>
      </c>
      <c r="G42" s="84">
        <v>1.8962988661815398E-2</v>
      </c>
      <c r="H42" s="83">
        <v>3.7449732150585377E-2</v>
      </c>
      <c r="I42" s="84">
        <v>2.9039693913862522E-2</v>
      </c>
    </row>
    <row r="43" spans="1:9" x14ac:dyDescent="0.2">
      <c r="A43" s="80" t="s">
        <v>78</v>
      </c>
      <c r="B43" s="81">
        <v>3.3091282910097136E-2</v>
      </c>
      <c r="C43" s="82">
        <v>1.4753631095777089E-2</v>
      </c>
      <c r="D43" s="83">
        <v>2.3735805794436647E-2</v>
      </c>
      <c r="E43" s="84">
        <v>1.365444866799434E-2</v>
      </c>
      <c r="F43" s="83">
        <v>8.5537312119722098E-2</v>
      </c>
      <c r="G43" s="84">
        <v>2.6491528624529026E-2</v>
      </c>
      <c r="H43" s="83">
        <v>6.1704218259057232E-2</v>
      </c>
      <c r="I43" s="84">
        <v>4.9551680248596163E-3</v>
      </c>
    </row>
    <row r="44" spans="1:9" x14ac:dyDescent="0.2">
      <c r="A44" s="80" t="s">
        <v>77</v>
      </c>
      <c r="B44" s="117">
        <v>3.3091282910097136E-2</v>
      </c>
      <c r="C44" s="118">
        <v>1.4753631095777089E-2</v>
      </c>
      <c r="D44" s="85">
        <v>5.747901829935842E-2</v>
      </c>
      <c r="E44" s="86">
        <v>2.6753209761214102E-2</v>
      </c>
      <c r="F44" s="85">
        <v>5.8085520029901597E-2</v>
      </c>
      <c r="G44" s="86">
        <v>3.8277459769154018E-2</v>
      </c>
      <c r="H44" s="85">
        <v>5.870490854328133E-2</v>
      </c>
      <c r="I44" s="86">
        <v>1.6356228414809264E-2</v>
      </c>
    </row>
    <row r="46" spans="1:9" x14ac:dyDescent="0.2">
      <c r="B46" s="119" t="s">
        <v>66</v>
      </c>
      <c r="C46" s="119"/>
      <c r="D46" s="119"/>
      <c r="E46" s="119"/>
      <c r="F46" s="119"/>
      <c r="G46" s="119"/>
      <c r="H46" s="119"/>
      <c r="I46" s="119"/>
    </row>
    <row r="47" spans="1:9" x14ac:dyDescent="0.2">
      <c r="B47" s="119" t="s">
        <v>56</v>
      </c>
      <c r="C47" s="119"/>
      <c r="D47" s="119" t="s">
        <v>6</v>
      </c>
      <c r="E47" s="119"/>
      <c r="F47" s="119" t="s">
        <v>7</v>
      </c>
      <c r="G47" s="119"/>
      <c r="H47" s="119" t="s">
        <v>8</v>
      </c>
      <c r="I47" s="119"/>
    </row>
    <row r="48" spans="1:9" x14ac:dyDescent="0.2">
      <c r="B48" s="3" t="s">
        <v>57</v>
      </c>
      <c r="C48" s="3" t="s">
        <v>58</v>
      </c>
      <c r="D48" s="3" t="s">
        <v>57</v>
      </c>
      <c r="E48" s="3" t="s">
        <v>58</v>
      </c>
      <c r="F48" s="3" t="s">
        <v>57</v>
      </c>
      <c r="G48" s="3" t="s">
        <v>58</v>
      </c>
      <c r="H48" s="3" t="s">
        <v>57</v>
      </c>
      <c r="I48" s="3" t="s">
        <v>58</v>
      </c>
    </row>
    <row r="49" spans="1:9" x14ac:dyDescent="0.2">
      <c r="A49" s="80" t="s">
        <v>9</v>
      </c>
      <c r="B49" s="81">
        <v>3.5397593941995195E-2</v>
      </c>
      <c r="C49" s="82">
        <v>1.6889741247641143E-2</v>
      </c>
      <c r="D49" s="81">
        <v>4.2739134132594059E-2</v>
      </c>
      <c r="E49" s="82">
        <v>2.5767451461912873E-2</v>
      </c>
      <c r="F49" s="81">
        <v>0.18656854972795212</v>
      </c>
      <c r="G49" s="82">
        <v>5.9397492396988411E-2</v>
      </c>
      <c r="H49" s="81">
        <v>0.3924077090173036</v>
      </c>
      <c r="I49" s="82">
        <v>0.13784684945207448</v>
      </c>
    </row>
    <row r="50" spans="1:9" x14ac:dyDescent="0.2">
      <c r="A50" s="80" t="s">
        <v>71</v>
      </c>
      <c r="B50" s="83">
        <v>3.5397593941995195E-2</v>
      </c>
      <c r="C50" s="84">
        <v>1.6889741247641143E-2</v>
      </c>
      <c r="D50" s="83">
        <v>8.9932029740093428E-2</v>
      </c>
      <c r="E50" s="84">
        <v>5.7369766264461337E-2</v>
      </c>
      <c r="F50" s="83">
        <v>0.19907442619182777</v>
      </c>
      <c r="G50" s="84">
        <v>0.17486447332979677</v>
      </c>
      <c r="H50" s="83">
        <v>0.3261881977478982</v>
      </c>
      <c r="I50" s="84">
        <v>0.40135152153326853</v>
      </c>
    </row>
    <row r="51" spans="1:9" x14ac:dyDescent="0.2">
      <c r="A51" s="80" t="s">
        <v>72</v>
      </c>
      <c r="B51" s="83">
        <v>3.5397593941995195E-2</v>
      </c>
      <c r="C51" s="84">
        <v>1.6889741247641143E-2</v>
      </c>
      <c r="D51" s="83">
        <v>7.8493842762284646E-2</v>
      </c>
      <c r="E51" s="84">
        <v>4.015716071966309E-2</v>
      </c>
      <c r="F51" s="83">
        <v>0.19382793880962268</v>
      </c>
      <c r="G51" s="84">
        <v>0.16308293748630137</v>
      </c>
      <c r="H51" s="83">
        <v>0.48790937262439604</v>
      </c>
      <c r="I51" s="84">
        <v>0.61516928585165975</v>
      </c>
    </row>
    <row r="52" spans="1:9" x14ac:dyDescent="0.2">
      <c r="A52" s="80" t="s">
        <v>78</v>
      </c>
      <c r="B52" s="83">
        <v>3.5397593941995195E-2</v>
      </c>
      <c r="C52" s="84">
        <v>1.6889741247641143E-2</v>
      </c>
      <c r="D52" s="83">
        <v>7.2656058512288763E-2</v>
      </c>
      <c r="E52" s="84">
        <v>4.5769388623156645E-2</v>
      </c>
      <c r="F52" s="83">
        <v>0.12851645789894367</v>
      </c>
      <c r="G52" s="84">
        <v>6.0086503373745492E-2</v>
      </c>
      <c r="H52" s="83">
        <v>0.13020802321139868</v>
      </c>
      <c r="I52" s="84">
        <v>0.11572943502924854</v>
      </c>
    </row>
    <row r="53" spans="1:9" x14ac:dyDescent="0.2">
      <c r="A53" s="80" t="s">
        <v>77</v>
      </c>
      <c r="B53" s="85">
        <v>3.5397593941995195E-2</v>
      </c>
      <c r="C53" s="86">
        <v>1.6889741247641143E-2</v>
      </c>
      <c r="D53" s="85">
        <v>0.26021462654798022</v>
      </c>
      <c r="E53" s="86">
        <v>9.9699049916643703E-2</v>
      </c>
      <c r="F53" s="85">
        <v>0.19652280441590514</v>
      </c>
      <c r="G53" s="86">
        <v>4.633452647405216E-2</v>
      </c>
      <c r="H53" s="85">
        <v>0.19047909971807941</v>
      </c>
      <c r="I53" s="86">
        <v>0.10169524042706765</v>
      </c>
    </row>
    <row r="55" spans="1:9" x14ac:dyDescent="0.2">
      <c r="B55" s="119" t="s">
        <v>67</v>
      </c>
      <c r="C55" s="119"/>
      <c r="D55" s="119"/>
      <c r="E55" s="119"/>
      <c r="F55" s="119"/>
      <c r="G55" s="119"/>
      <c r="H55" s="119"/>
      <c r="I55" s="119"/>
    </row>
    <row r="56" spans="1:9" x14ac:dyDescent="0.2">
      <c r="B56" s="119" t="s">
        <v>56</v>
      </c>
      <c r="C56" s="119"/>
      <c r="D56" s="119" t="s">
        <v>6</v>
      </c>
      <c r="E56" s="119"/>
      <c r="F56" s="119" t="s">
        <v>7</v>
      </c>
      <c r="G56" s="119"/>
      <c r="H56" s="119" t="s">
        <v>8</v>
      </c>
      <c r="I56" s="119"/>
    </row>
    <row r="57" spans="1:9" x14ac:dyDescent="0.2">
      <c r="B57" s="3" t="s">
        <v>57</v>
      </c>
      <c r="C57" s="3" t="s">
        <v>58</v>
      </c>
      <c r="D57" s="3" t="s">
        <v>57</v>
      </c>
      <c r="E57" s="3" t="s">
        <v>58</v>
      </c>
      <c r="F57" s="3" t="s">
        <v>57</v>
      </c>
      <c r="G57" s="3" t="s">
        <v>58</v>
      </c>
      <c r="H57" s="3" t="s">
        <v>57</v>
      </c>
      <c r="I57" s="3" t="s">
        <v>58</v>
      </c>
    </row>
    <row r="58" spans="1:9" x14ac:dyDescent="0.2">
      <c r="A58" s="80" t="s">
        <v>9</v>
      </c>
      <c r="B58" s="81">
        <v>6.8149546536168032E-2</v>
      </c>
      <c r="C58" s="82">
        <v>1.2798949303193511E-2</v>
      </c>
      <c r="D58" s="81">
        <v>0.21195877542759484</v>
      </c>
      <c r="E58" s="82">
        <v>9.4260727090039242E-2</v>
      </c>
      <c r="F58" s="81">
        <v>0.1226283626160078</v>
      </c>
      <c r="G58" s="82">
        <v>2.9293058778220461E-2</v>
      </c>
      <c r="H58" s="81">
        <v>0.26805307268993656</v>
      </c>
      <c r="I58" s="82">
        <v>2.5797521206384497E-2</v>
      </c>
    </row>
    <row r="59" spans="1:9" x14ac:dyDescent="0.2">
      <c r="A59" s="80" t="s">
        <v>71</v>
      </c>
      <c r="B59" s="83">
        <v>6.8149546536168032E-2</v>
      </c>
      <c r="C59" s="84">
        <v>1.2798949303193511E-2</v>
      </c>
      <c r="D59" s="83">
        <v>7.5771440848002178E-2</v>
      </c>
      <c r="E59" s="84">
        <v>9.3261490520822176E-3</v>
      </c>
      <c r="F59" s="83">
        <v>8.4985725939782153E-2</v>
      </c>
      <c r="G59" s="84">
        <v>1.7103837413683782E-2</v>
      </c>
      <c r="H59" s="83">
        <v>8.9730112715694088E-2</v>
      </c>
      <c r="I59" s="84">
        <v>1.0291275466482919E-2</v>
      </c>
    </row>
    <row r="60" spans="1:9" x14ac:dyDescent="0.2">
      <c r="A60" s="80" t="s">
        <v>72</v>
      </c>
      <c r="B60" s="83">
        <v>6.8149546536168032E-2</v>
      </c>
      <c r="C60" s="84">
        <v>1.2798949303193511E-2</v>
      </c>
      <c r="D60" s="83">
        <v>0.10541198285572635</v>
      </c>
      <c r="E60" s="84">
        <v>4.086341575827046E-2</v>
      </c>
      <c r="F60" s="83">
        <v>0.11972159378710825</v>
      </c>
      <c r="G60" s="84">
        <v>6.4863975167015919E-2</v>
      </c>
      <c r="H60" s="83">
        <v>0.15977594312832794</v>
      </c>
      <c r="I60" s="84">
        <v>5.3145925762093961E-2</v>
      </c>
    </row>
    <row r="61" spans="1:9" x14ac:dyDescent="0.2">
      <c r="A61" s="80" t="s">
        <v>78</v>
      </c>
      <c r="B61" s="83">
        <v>6.8149546536168032E-2</v>
      </c>
      <c r="C61" s="84">
        <v>1.2798949303193511E-2</v>
      </c>
      <c r="D61" s="83">
        <v>0.11719605133441187</v>
      </c>
      <c r="E61" s="84">
        <v>1.9337495085176772E-2</v>
      </c>
      <c r="F61" s="83">
        <v>0.20011992959779609</v>
      </c>
      <c r="G61" s="84">
        <v>6.249970745327766E-2</v>
      </c>
      <c r="H61" s="83">
        <v>0.21934978088963158</v>
      </c>
      <c r="I61" s="84">
        <v>7.7303903553977621E-2</v>
      </c>
    </row>
    <row r="62" spans="1:9" x14ac:dyDescent="0.2">
      <c r="A62" s="80" t="s">
        <v>77</v>
      </c>
      <c r="B62" s="85">
        <v>6.8149546536168032E-2</v>
      </c>
      <c r="C62" s="86">
        <v>1.2798949303193511E-2</v>
      </c>
      <c r="D62" s="85">
        <v>0.12073085742765248</v>
      </c>
      <c r="E62" s="86">
        <v>1.7985260067232074E-2</v>
      </c>
      <c r="F62" s="85">
        <v>0.16744234776024386</v>
      </c>
      <c r="G62" s="86">
        <v>4.6014434385545248E-2</v>
      </c>
      <c r="H62" s="85">
        <v>0.20054095715060627</v>
      </c>
      <c r="I62" s="86">
        <v>8.0133123565884784E-2</v>
      </c>
    </row>
    <row r="64" spans="1:9" x14ac:dyDescent="0.2">
      <c r="B64" s="119" t="s">
        <v>68</v>
      </c>
      <c r="C64" s="119"/>
      <c r="D64" s="119"/>
      <c r="E64" s="119"/>
      <c r="F64" s="119"/>
      <c r="G64" s="119"/>
      <c r="H64" s="119"/>
      <c r="I64" s="119"/>
    </row>
    <row r="65" spans="1:9" x14ac:dyDescent="0.2">
      <c r="B65" s="119" t="s">
        <v>56</v>
      </c>
      <c r="C65" s="119"/>
      <c r="D65" s="119" t="s">
        <v>6</v>
      </c>
      <c r="E65" s="119"/>
      <c r="F65" s="119" t="s">
        <v>7</v>
      </c>
      <c r="G65" s="119"/>
      <c r="H65" s="119" t="s">
        <v>8</v>
      </c>
      <c r="I65" s="119"/>
    </row>
    <row r="66" spans="1:9" x14ac:dyDescent="0.2">
      <c r="B66" s="3" t="s">
        <v>57</v>
      </c>
      <c r="C66" s="3" t="s">
        <v>58</v>
      </c>
      <c r="D66" s="3" t="s">
        <v>57</v>
      </c>
      <c r="E66" s="3" t="s">
        <v>58</v>
      </c>
      <c r="F66" s="3" t="s">
        <v>57</v>
      </c>
      <c r="G66" s="3" t="s">
        <v>58</v>
      </c>
      <c r="H66" s="3" t="s">
        <v>57</v>
      </c>
      <c r="I66" s="3" t="s">
        <v>58</v>
      </c>
    </row>
    <row r="67" spans="1:9" x14ac:dyDescent="0.2">
      <c r="A67" s="80" t="s">
        <v>9</v>
      </c>
      <c r="B67" s="81">
        <v>0.86518511177011315</v>
      </c>
      <c r="C67" s="82">
        <v>5.4972943434314053E-2</v>
      </c>
      <c r="D67" s="81">
        <v>1.0430112502774476</v>
      </c>
      <c r="E67" s="82">
        <v>0.17597985557435747</v>
      </c>
      <c r="F67" s="81">
        <v>1.3021261879232084</v>
      </c>
      <c r="G67" s="82">
        <v>0.12357438507161503</v>
      </c>
      <c r="H67" s="81">
        <v>1.6037005779058497</v>
      </c>
      <c r="I67" s="82">
        <v>0.36654233615520437</v>
      </c>
    </row>
    <row r="68" spans="1:9" x14ac:dyDescent="0.2">
      <c r="A68" s="80" t="s">
        <v>71</v>
      </c>
      <c r="B68" s="83">
        <v>0.86518511177011315</v>
      </c>
      <c r="C68" s="84">
        <v>5.4972943434314053E-2</v>
      </c>
      <c r="D68" s="83">
        <v>1.0239093814592206</v>
      </c>
      <c r="E68" s="84">
        <v>0.52679612993922476</v>
      </c>
      <c r="F68" s="83">
        <v>1.1307360904684489</v>
      </c>
      <c r="G68" s="84">
        <v>0.61704475876055453</v>
      </c>
      <c r="H68" s="83">
        <v>1.078693424872307</v>
      </c>
      <c r="I68" s="84">
        <v>0.56920841252982435</v>
      </c>
    </row>
    <row r="69" spans="1:9" x14ac:dyDescent="0.2">
      <c r="A69" s="80" t="s">
        <v>72</v>
      </c>
      <c r="B69" s="83">
        <v>0.86518511177011315</v>
      </c>
      <c r="C69" s="84">
        <v>5.4972943434314053E-2</v>
      </c>
      <c r="D69" s="83">
        <v>1.146508840345922</v>
      </c>
      <c r="E69" s="84">
        <v>5.9508670600376491E-2</v>
      </c>
      <c r="F69" s="83">
        <v>1.1886964575079104</v>
      </c>
      <c r="G69" s="84">
        <v>8.7358229541645224E-2</v>
      </c>
      <c r="H69" s="83">
        <v>1.5033276124431518</v>
      </c>
      <c r="I69" s="84">
        <v>0.39313163435768284</v>
      </c>
    </row>
    <row r="70" spans="1:9" x14ac:dyDescent="0.2">
      <c r="A70" s="80" t="s">
        <v>78</v>
      </c>
      <c r="B70" s="83">
        <v>0.86518511177011315</v>
      </c>
      <c r="C70" s="84">
        <v>5.4972943434314053E-2</v>
      </c>
      <c r="D70" s="83">
        <v>1.0473403697204069</v>
      </c>
      <c r="E70" s="84">
        <v>8.1624142155264978E-2</v>
      </c>
      <c r="F70" s="83">
        <v>1.2414332955512486</v>
      </c>
      <c r="G70" s="84">
        <v>0.21114463595059368</v>
      </c>
      <c r="H70" s="83">
        <v>1.1042094701356304</v>
      </c>
      <c r="I70" s="84">
        <v>0.13250633453063926</v>
      </c>
    </row>
    <row r="71" spans="1:9" x14ac:dyDescent="0.2">
      <c r="A71" s="80" t="s">
        <v>77</v>
      </c>
      <c r="B71" s="85">
        <v>0.86518511177011315</v>
      </c>
      <c r="C71" s="86">
        <v>5.4972943434314053E-2</v>
      </c>
      <c r="D71" s="85">
        <v>1.0899209379952375</v>
      </c>
      <c r="E71" s="86">
        <v>6.6528255581700155E-2</v>
      </c>
      <c r="F71" s="85">
        <v>1.2220701138854064</v>
      </c>
      <c r="G71" s="86">
        <v>0.11344652347081202</v>
      </c>
      <c r="H71" s="85">
        <v>1.1415471937588069</v>
      </c>
      <c r="I71" s="86">
        <v>6.0387769116633953E-2</v>
      </c>
    </row>
    <row r="73" spans="1:9" x14ac:dyDescent="0.2">
      <c r="B73" s="119" t="s">
        <v>69</v>
      </c>
      <c r="C73" s="119"/>
      <c r="D73" s="119"/>
      <c r="E73" s="119"/>
      <c r="F73" s="119"/>
      <c r="G73" s="119"/>
      <c r="H73" s="119"/>
      <c r="I73" s="119"/>
    </row>
    <row r="74" spans="1:9" x14ac:dyDescent="0.2">
      <c r="B74" s="119" t="s">
        <v>56</v>
      </c>
      <c r="C74" s="119"/>
      <c r="D74" s="119" t="s">
        <v>6</v>
      </c>
      <c r="E74" s="119"/>
      <c r="F74" s="119" t="s">
        <v>7</v>
      </c>
      <c r="G74" s="119"/>
      <c r="H74" s="119" t="s">
        <v>8</v>
      </c>
      <c r="I74" s="119"/>
    </row>
    <row r="75" spans="1:9" x14ac:dyDescent="0.2">
      <c r="B75" s="3" t="s">
        <v>57</v>
      </c>
      <c r="C75" s="3" t="s">
        <v>58</v>
      </c>
      <c r="D75" s="3" t="s">
        <v>57</v>
      </c>
      <c r="E75" s="3" t="s">
        <v>58</v>
      </c>
      <c r="F75" s="3" t="s">
        <v>57</v>
      </c>
      <c r="G75" s="3" t="s">
        <v>58</v>
      </c>
      <c r="H75" s="3" t="s">
        <v>57</v>
      </c>
      <c r="I75" s="3" t="s">
        <v>58</v>
      </c>
    </row>
    <row r="76" spans="1:9" x14ac:dyDescent="0.2">
      <c r="A76" s="80" t="s">
        <v>9</v>
      </c>
      <c r="B76" s="81">
        <v>2.9059263980784178E-2</v>
      </c>
      <c r="C76" s="82">
        <v>5.6218604029619618E-3</v>
      </c>
      <c r="D76" s="81">
        <v>0.14882025848209418</v>
      </c>
      <c r="E76" s="82">
        <v>4.9392123120981506E-2</v>
      </c>
      <c r="F76" s="81">
        <v>0.15167514357952541</v>
      </c>
      <c r="G76" s="82">
        <v>3.414057941967235E-2</v>
      </c>
      <c r="H76" s="81">
        <v>0.18122780807871172</v>
      </c>
      <c r="I76" s="82">
        <v>6.502526700924996E-2</v>
      </c>
    </row>
    <row r="77" spans="1:9" x14ac:dyDescent="0.2">
      <c r="A77" s="80" t="s">
        <v>71</v>
      </c>
      <c r="B77" s="83">
        <v>2.9059263980784178E-2</v>
      </c>
      <c r="C77" s="84">
        <v>5.6218604029619618E-3</v>
      </c>
      <c r="D77" s="83">
        <v>0.12297677885180072</v>
      </c>
      <c r="E77" s="84">
        <v>6.3728807743380883E-2</v>
      </c>
      <c r="F77" s="83">
        <v>4.1676273098186709E-2</v>
      </c>
      <c r="G77" s="84">
        <v>2.572320283111507E-2</v>
      </c>
      <c r="H77" s="83">
        <v>5.3482138397341172E-2</v>
      </c>
      <c r="I77" s="84">
        <v>4.6047073228233246E-2</v>
      </c>
    </row>
    <row r="78" spans="1:9" x14ac:dyDescent="0.2">
      <c r="A78" s="80" t="s">
        <v>72</v>
      </c>
      <c r="B78" s="83">
        <v>2.9059263980784178E-2</v>
      </c>
      <c r="C78" s="84">
        <v>5.6218604029619618E-3</v>
      </c>
      <c r="D78" s="83">
        <v>5.2043442721159058E-2</v>
      </c>
      <c r="E78" s="84">
        <v>1.8592126308436339E-2</v>
      </c>
      <c r="F78" s="83">
        <v>4.3377014544012396E-2</v>
      </c>
      <c r="G78" s="84">
        <v>2.2647903245809956E-2</v>
      </c>
      <c r="H78" s="83">
        <v>6.9244100622842558E-2</v>
      </c>
      <c r="I78" s="84">
        <v>2.7651872919480704E-2</v>
      </c>
    </row>
    <row r="79" spans="1:9" x14ac:dyDescent="0.2">
      <c r="A79" s="80" t="s">
        <v>78</v>
      </c>
      <c r="B79" s="83">
        <v>2.9059263980784178E-2</v>
      </c>
      <c r="C79" s="84">
        <v>5.6218604029619618E-3</v>
      </c>
      <c r="D79" s="83">
        <v>5.520726810738158E-2</v>
      </c>
      <c r="E79" s="84">
        <v>1.0584023954372041E-2</v>
      </c>
      <c r="F79" s="83">
        <v>0.12403334071350831</v>
      </c>
      <c r="G79" s="84">
        <v>8.0431233360915011E-2</v>
      </c>
      <c r="H79" s="83">
        <v>0.14930359488967249</v>
      </c>
      <c r="I79" s="84">
        <v>0.12747742646698826</v>
      </c>
    </row>
    <row r="80" spans="1:9" x14ac:dyDescent="0.2">
      <c r="A80" s="80" t="s">
        <v>77</v>
      </c>
      <c r="B80" s="85">
        <v>2.9059263980784178E-2</v>
      </c>
      <c r="C80" s="86">
        <v>5.6218604029619618E-3</v>
      </c>
      <c r="D80" s="85">
        <v>4.880264073205056E-2</v>
      </c>
      <c r="E80" s="86">
        <v>4.6576315490902929E-3</v>
      </c>
      <c r="F80" s="85">
        <v>0.11080574666003293</v>
      </c>
      <c r="G80" s="86">
        <v>0.1010828092641045</v>
      </c>
      <c r="H80" s="85">
        <v>0.10556553841574265</v>
      </c>
      <c r="I80" s="86">
        <v>9.4207949922957446E-2</v>
      </c>
    </row>
    <row r="82" spans="1:9" x14ac:dyDescent="0.2">
      <c r="B82" s="119" t="s">
        <v>70</v>
      </c>
      <c r="C82" s="119"/>
      <c r="D82" s="119"/>
      <c r="E82" s="119"/>
      <c r="F82" s="119"/>
      <c r="G82" s="119"/>
      <c r="H82" s="119"/>
      <c r="I82" s="119"/>
    </row>
    <row r="83" spans="1:9" x14ac:dyDescent="0.2">
      <c r="B83" s="119" t="s">
        <v>56</v>
      </c>
      <c r="C83" s="119"/>
      <c r="D83" s="119" t="s">
        <v>6</v>
      </c>
      <c r="E83" s="119"/>
      <c r="F83" s="119" t="s">
        <v>7</v>
      </c>
      <c r="G83" s="119"/>
      <c r="H83" s="119" t="s">
        <v>8</v>
      </c>
      <c r="I83" s="119"/>
    </row>
    <row r="84" spans="1:9" x14ac:dyDescent="0.2">
      <c r="B84" s="3" t="s">
        <v>57</v>
      </c>
      <c r="C84" s="3" t="s">
        <v>58</v>
      </c>
      <c r="D84" s="3" t="s">
        <v>57</v>
      </c>
      <c r="E84" s="3" t="s">
        <v>58</v>
      </c>
      <c r="F84" s="3" t="s">
        <v>57</v>
      </c>
      <c r="G84" s="3" t="s">
        <v>58</v>
      </c>
      <c r="H84" s="3" t="s">
        <v>57</v>
      </c>
      <c r="I84" s="3" t="s">
        <v>58</v>
      </c>
    </row>
    <row r="85" spans="1:9" x14ac:dyDescent="0.2">
      <c r="A85" s="80" t="s">
        <v>9</v>
      </c>
      <c r="B85" s="81">
        <v>3.6869917753651303E-2</v>
      </c>
      <c r="C85" s="82">
        <v>3.0878967815744637E-3</v>
      </c>
      <c r="D85" s="81">
        <v>4.0134046517452449E-2</v>
      </c>
      <c r="E85" s="82">
        <v>6.4861300880627235E-3</v>
      </c>
      <c r="F85" s="81">
        <v>4.134940633860993E-2</v>
      </c>
      <c r="G85" s="82">
        <v>6.3707370355757884E-3</v>
      </c>
      <c r="H85" s="81">
        <v>4.7879712477734947E-2</v>
      </c>
      <c r="I85" s="82">
        <v>1.3680709632911013E-2</v>
      </c>
    </row>
    <row r="86" spans="1:9" x14ac:dyDescent="0.2">
      <c r="A86" s="80" t="s">
        <v>71</v>
      </c>
      <c r="B86" s="83">
        <v>3.6869917753651303E-2</v>
      </c>
      <c r="C86" s="84">
        <v>3.0878967815744637E-3</v>
      </c>
      <c r="D86" s="83">
        <v>4.7339998630975814E-2</v>
      </c>
      <c r="E86" s="84">
        <v>7.4398343275797595E-3</v>
      </c>
      <c r="F86" s="83">
        <v>5.1492843089519867E-2</v>
      </c>
      <c r="G86" s="84">
        <v>1.0335177380727279E-2</v>
      </c>
      <c r="H86" s="83">
        <v>4.4028527827864331E-2</v>
      </c>
      <c r="I86" s="84">
        <v>5.0858013405764169E-3</v>
      </c>
    </row>
    <row r="87" spans="1:9" x14ac:dyDescent="0.2">
      <c r="A87" s="80" t="s">
        <v>72</v>
      </c>
      <c r="B87" s="83">
        <v>3.6869917753651303E-2</v>
      </c>
      <c r="C87" s="84">
        <v>3.0878967815744637E-3</v>
      </c>
      <c r="D87" s="83">
        <v>7.4144690816018752E-2</v>
      </c>
      <c r="E87" s="84">
        <v>2.8413863056220602E-2</v>
      </c>
      <c r="F87" s="83">
        <v>7.8482393184050259E-2</v>
      </c>
      <c r="G87" s="84">
        <v>3.2867291298227221E-2</v>
      </c>
      <c r="H87" s="83">
        <v>0.13936662918975057</v>
      </c>
      <c r="I87" s="84">
        <v>0.10482957029347746</v>
      </c>
    </row>
    <row r="88" spans="1:9" x14ac:dyDescent="0.2">
      <c r="A88" s="80" t="s">
        <v>78</v>
      </c>
      <c r="B88" s="83">
        <v>3.6869917753651303E-2</v>
      </c>
      <c r="C88" s="84">
        <v>3.0878967815744637E-3</v>
      </c>
      <c r="D88" s="83">
        <v>0.15047073326722368</v>
      </c>
      <c r="E88" s="84">
        <v>1.9867410432926162E-2</v>
      </c>
      <c r="F88" s="83">
        <v>0.20166133904715436</v>
      </c>
      <c r="G88" s="84">
        <v>3.3209721193369575E-2</v>
      </c>
      <c r="H88" s="83">
        <v>0.18072291741141228</v>
      </c>
      <c r="I88" s="84">
        <v>6.1847894417721073E-2</v>
      </c>
    </row>
    <row r="89" spans="1:9" x14ac:dyDescent="0.2">
      <c r="A89" s="80" t="s">
        <v>77</v>
      </c>
      <c r="B89" s="85">
        <v>3.6869917753651303E-2</v>
      </c>
      <c r="C89" s="86">
        <v>3.0878967815744637E-3</v>
      </c>
      <c r="D89" s="85">
        <v>9.5651001103551792E-2</v>
      </c>
      <c r="E89" s="86">
        <v>3.8598352742889877E-2</v>
      </c>
      <c r="F89" s="85">
        <v>0.13932687867233517</v>
      </c>
      <c r="G89" s="86">
        <v>2.9302494646741013E-2</v>
      </c>
      <c r="H89" s="85">
        <v>0.1287869100348871</v>
      </c>
      <c r="I89" s="86">
        <v>4.0218392107613285E-2</v>
      </c>
    </row>
    <row r="99" spans="1:21" x14ac:dyDescent="0.2">
      <c r="B99" s="77" t="s">
        <v>60</v>
      </c>
      <c r="C99" s="77"/>
      <c r="D99" s="77" t="s">
        <v>62</v>
      </c>
      <c r="E99" s="77"/>
      <c r="F99" s="77" t="s">
        <v>63</v>
      </c>
      <c r="G99" s="77"/>
      <c r="H99" s="77" t="s">
        <v>64</v>
      </c>
      <c r="I99" s="77"/>
      <c r="J99" s="77" t="s">
        <v>65</v>
      </c>
      <c r="K99" s="77"/>
      <c r="L99" s="77" t="s">
        <v>66</v>
      </c>
      <c r="M99" s="77"/>
      <c r="N99" t="s">
        <v>67</v>
      </c>
      <c r="P99" t="s">
        <v>68</v>
      </c>
      <c r="R99" t="s">
        <v>69</v>
      </c>
      <c r="T99" t="s">
        <v>70</v>
      </c>
    </row>
    <row r="100" spans="1:21" x14ac:dyDescent="0.2">
      <c r="A100" s="80" t="s">
        <v>79</v>
      </c>
      <c r="B100" s="81">
        <v>6.7231227768558693E-2</v>
      </c>
      <c r="C100" s="82">
        <v>2.7552651779902529E-2</v>
      </c>
      <c r="D100" s="81">
        <v>0.10256882239603818</v>
      </c>
      <c r="E100" s="82">
        <v>4.2028158533818617E-2</v>
      </c>
      <c r="F100" s="81">
        <v>0.49536778266311077</v>
      </c>
      <c r="G100" s="82">
        <v>0.1449244311168176</v>
      </c>
      <c r="H100" s="81">
        <v>0.24014006805316077</v>
      </c>
      <c r="I100" s="82">
        <v>2.2446773111110072E-2</v>
      </c>
      <c r="J100" s="81">
        <v>7.4298726117030339E-2</v>
      </c>
      <c r="K100" s="82">
        <v>1.0689919699588197E-2</v>
      </c>
      <c r="L100" s="81">
        <v>0.18656854972795212</v>
      </c>
      <c r="M100" s="82">
        <v>5.9397492396988411E-2</v>
      </c>
      <c r="N100" s="81">
        <v>0.1226283626160078</v>
      </c>
      <c r="O100" s="82">
        <v>2.9293058778220461E-2</v>
      </c>
      <c r="P100" s="81">
        <v>1.3021261879232084</v>
      </c>
      <c r="Q100" s="82">
        <v>0.12357438507161503</v>
      </c>
      <c r="R100" s="81">
        <v>0.15167514357952541</v>
      </c>
      <c r="S100" s="82">
        <v>3.414057941967235E-2</v>
      </c>
      <c r="T100" s="81">
        <v>4.134940633860993E-2</v>
      </c>
      <c r="U100" s="82">
        <v>6.3707370355757884E-3</v>
      </c>
    </row>
    <row r="101" spans="1:21" x14ac:dyDescent="0.2">
      <c r="A101" s="80" t="s">
        <v>80</v>
      </c>
      <c r="B101" s="83">
        <v>2.4170084002420422</v>
      </c>
      <c r="C101" s="84">
        <v>0.95371974640406221</v>
      </c>
      <c r="D101" s="83">
        <v>0.13976192472950194</v>
      </c>
      <c r="E101" s="84">
        <v>6.0328652735249046E-2</v>
      </c>
      <c r="F101" s="83">
        <v>1.550247263043401</v>
      </c>
      <c r="G101" s="84">
        <v>0.85350771416881077</v>
      </c>
      <c r="H101" s="83">
        <v>0.70094538793939443</v>
      </c>
      <c r="I101" s="84">
        <v>0.28081431684003216</v>
      </c>
      <c r="J101" s="83">
        <v>4.3241813552860588E-2</v>
      </c>
      <c r="K101" s="84">
        <v>9.1615036348265365E-3</v>
      </c>
      <c r="L101" s="83">
        <v>0.19907442619182777</v>
      </c>
      <c r="M101" s="84">
        <v>0.17486447332979677</v>
      </c>
      <c r="N101" s="83">
        <v>8.4985725939782153E-2</v>
      </c>
      <c r="O101" s="84">
        <v>1.7103837413683782E-2</v>
      </c>
      <c r="P101" s="83">
        <v>1.1307360904684489</v>
      </c>
      <c r="Q101" s="84">
        <v>0.61704475876055453</v>
      </c>
      <c r="R101" s="83">
        <v>4.1676273098186709E-2</v>
      </c>
      <c r="S101" s="84">
        <v>2.572320283111507E-2</v>
      </c>
      <c r="T101" s="83">
        <v>5.1492843089519867E-2</v>
      </c>
      <c r="U101" s="84">
        <v>1.0335177380727279E-2</v>
      </c>
    </row>
    <row r="102" spans="1:21" x14ac:dyDescent="0.2">
      <c r="A102" s="80" t="s">
        <v>81</v>
      </c>
      <c r="B102" s="83">
        <v>2.0318276860678832</v>
      </c>
      <c r="C102" s="84">
        <v>1.1014012409192051</v>
      </c>
      <c r="D102" s="83">
        <v>0.11521772179033136</v>
      </c>
      <c r="E102" s="84">
        <v>2.8215518280556306E-2</v>
      </c>
      <c r="F102" s="83">
        <v>1.1362448175898736</v>
      </c>
      <c r="G102" s="84">
        <v>0.83517565024632057</v>
      </c>
      <c r="H102" s="83">
        <v>0.72075807335207953</v>
      </c>
      <c r="I102" s="84">
        <v>0.15999999917839491</v>
      </c>
      <c r="J102" s="83">
        <v>4.1215644312078706E-2</v>
      </c>
      <c r="K102" s="84">
        <v>1.8962988661815398E-2</v>
      </c>
      <c r="L102" s="83">
        <v>0.19382793880962268</v>
      </c>
      <c r="M102" s="84">
        <v>0.16308293748630137</v>
      </c>
      <c r="N102" s="83">
        <v>0.11972159378710825</v>
      </c>
      <c r="O102" s="84">
        <v>6.4863975167015919E-2</v>
      </c>
      <c r="P102" s="83">
        <v>1.1886964575079104</v>
      </c>
      <c r="Q102" s="84">
        <v>8.7358229541645224E-2</v>
      </c>
      <c r="R102" s="83">
        <v>4.3377014544012396E-2</v>
      </c>
      <c r="S102" s="84">
        <v>2.2647903245809956E-2</v>
      </c>
      <c r="T102" s="83">
        <v>7.8482393184050259E-2</v>
      </c>
      <c r="U102" s="84">
        <v>3.2867291298227221E-2</v>
      </c>
    </row>
    <row r="103" spans="1:21" x14ac:dyDescent="0.2">
      <c r="A103" s="80" t="s">
        <v>82</v>
      </c>
      <c r="B103" s="83">
        <v>3.304762090613965</v>
      </c>
      <c r="C103" s="84">
        <v>0.97618547296266045</v>
      </c>
      <c r="D103" s="83">
        <v>3.7474841133147252E-2</v>
      </c>
      <c r="E103" s="84">
        <v>8.9969758218490826E-3</v>
      </c>
      <c r="F103" s="83">
        <v>1.2151568079727013</v>
      </c>
      <c r="G103" s="84">
        <v>0.60890911360666267</v>
      </c>
      <c r="H103" s="83">
        <v>0.79729426977573337</v>
      </c>
      <c r="I103" s="84">
        <v>0.41091186128061341</v>
      </c>
      <c r="J103" s="83">
        <v>8.5537312119722098E-2</v>
      </c>
      <c r="K103" s="84">
        <v>2.6491528624529026E-2</v>
      </c>
      <c r="L103" s="83">
        <v>0.12851645789894367</v>
      </c>
      <c r="M103" s="84">
        <v>6.0086503373745492E-2</v>
      </c>
      <c r="N103" s="83">
        <v>0.20011992959779609</v>
      </c>
      <c r="O103" s="84">
        <v>6.249970745327766E-2</v>
      </c>
      <c r="P103" s="83">
        <v>1.2414332955512486</v>
      </c>
      <c r="Q103" s="84">
        <v>0.21114463595059368</v>
      </c>
      <c r="R103" s="83">
        <v>0.12403334071350831</v>
      </c>
      <c r="S103" s="84">
        <v>8.0431233360915011E-2</v>
      </c>
      <c r="T103" s="83">
        <v>0.20166133904715436</v>
      </c>
      <c r="U103" s="84">
        <v>3.3209721193369575E-2</v>
      </c>
    </row>
    <row r="104" spans="1:21" x14ac:dyDescent="0.2">
      <c r="A104" s="80" t="s">
        <v>83</v>
      </c>
      <c r="B104" s="85">
        <v>2.7329133910630263</v>
      </c>
      <c r="C104" s="86">
        <v>1.1128195276887636</v>
      </c>
      <c r="D104" s="85">
        <v>2.4690997709840325E-2</v>
      </c>
      <c r="E104" s="86">
        <v>1.5309024991467697E-2</v>
      </c>
      <c r="F104" s="85">
        <v>0.85801565210627917</v>
      </c>
      <c r="G104" s="86">
        <v>0.67858496032017956</v>
      </c>
      <c r="H104" s="85">
        <v>0.51922755068284332</v>
      </c>
      <c r="I104" s="86">
        <v>0.32073170643422177</v>
      </c>
      <c r="J104" s="85">
        <v>5.8085520029901597E-2</v>
      </c>
      <c r="K104" s="86">
        <v>3.8277459769154018E-2</v>
      </c>
      <c r="L104" s="85">
        <v>0.19652280441590514</v>
      </c>
      <c r="M104" s="86">
        <v>4.633452647405216E-2</v>
      </c>
      <c r="N104" s="85">
        <v>0.16744234776024386</v>
      </c>
      <c r="O104" s="86">
        <v>4.6014434385545248E-2</v>
      </c>
      <c r="P104" s="85">
        <v>1.2220701138854064</v>
      </c>
      <c r="Q104" s="86">
        <v>0.11344652347081202</v>
      </c>
      <c r="R104" s="85">
        <v>0.11080574666003293</v>
      </c>
      <c r="S104" s="86">
        <v>0.1010828092641045</v>
      </c>
      <c r="T104" s="85">
        <v>0.13932687867233517</v>
      </c>
      <c r="U104" s="86">
        <v>2.9302494646741013E-2</v>
      </c>
    </row>
  </sheetData>
  <mergeCells count="50">
    <mergeCell ref="B47:C47"/>
    <mergeCell ref="D47:E47"/>
    <mergeCell ref="F47:G47"/>
    <mergeCell ref="H47:I47"/>
    <mergeCell ref="B28:I28"/>
    <mergeCell ref="B29:C29"/>
    <mergeCell ref="D29:E29"/>
    <mergeCell ref="F29:G29"/>
    <mergeCell ref="H29:I29"/>
    <mergeCell ref="B37:I37"/>
    <mergeCell ref="B38:C38"/>
    <mergeCell ref="D38:E38"/>
    <mergeCell ref="F38:G38"/>
    <mergeCell ref="H38:I38"/>
    <mergeCell ref="B46:I46"/>
    <mergeCell ref="B20:C20"/>
    <mergeCell ref="D20:E20"/>
    <mergeCell ref="F20:G20"/>
    <mergeCell ref="H20:I20"/>
    <mergeCell ref="B1:I1"/>
    <mergeCell ref="B2:C2"/>
    <mergeCell ref="D2:E2"/>
    <mergeCell ref="F2:G2"/>
    <mergeCell ref="H2:I2"/>
    <mergeCell ref="B10:I10"/>
    <mergeCell ref="B11:C11"/>
    <mergeCell ref="D11:E11"/>
    <mergeCell ref="F11:G11"/>
    <mergeCell ref="H11:I11"/>
    <mergeCell ref="B19:I19"/>
    <mergeCell ref="B55:I55"/>
    <mergeCell ref="B56:C56"/>
    <mergeCell ref="D56:E56"/>
    <mergeCell ref="F56:G56"/>
    <mergeCell ref="H56:I56"/>
    <mergeCell ref="B64:I64"/>
    <mergeCell ref="B65:C65"/>
    <mergeCell ref="D65:E65"/>
    <mergeCell ref="F65:G65"/>
    <mergeCell ref="H65:I65"/>
    <mergeCell ref="B73:I73"/>
    <mergeCell ref="B74:C74"/>
    <mergeCell ref="D74:E74"/>
    <mergeCell ref="F74:G74"/>
    <mergeCell ref="H74:I74"/>
    <mergeCell ref="B82:I82"/>
    <mergeCell ref="B83:C83"/>
    <mergeCell ref="D83:E83"/>
    <mergeCell ref="F83:G83"/>
    <mergeCell ref="H83:I8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913A1-EB31-446B-80B6-C60B418E521C}">
  <dimension ref="A1:I69"/>
  <sheetViews>
    <sheetView topLeftCell="G1" workbookViewId="0">
      <selection activeCell="B69" sqref="B69:I69"/>
    </sheetView>
  </sheetViews>
  <sheetFormatPr baseColWidth="10" defaultColWidth="9.1640625" defaultRowHeight="15" x14ac:dyDescent="0.2"/>
  <cols>
    <col min="1" max="1" width="15.83203125" bestFit="1" customWidth="1"/>
  </cols>
  <sheetData>
    <row r="1" spans="1:9" x14ac:dyDescent="0.2">
      <c r="B1" s="119" t="s">
        <v>60</v>
      </c>
      <c r="C1" s="119"/>
      <c r="D1" s="119"/>
      <c r="E1" s="119"/>
      <c r="F1" s="119"/>
      <c r="G1" s="119"/>
      <c r="H1" s="119"/>
      <c r="I1" s="119"/>
    </row>
    <row r="2" spans="1:9" x14ac:dyDescent="0.2">
      <c r="B2" s="119" t="s">
        <v>56</v>
      </c>
      <c r="C2" s="119"/>
      <c r="D2" s="119" t="s">
        <v>6</v>
      </c>
      <c r="E2" s="119"/>
      <c r="F2" s="119" t="s">
        <v>7</v>
      </c>
      <c r="G2" s="119"/>
      <c r="H2" s="119" t="s">
        <v>8</v>
      </c>
      <c r="I2" s="119"/>
    </row>
    <row r="3" spans="1:9" x14ac:dyDescent="0.2">
      <c r="B3" s="3" t="s">
        <v>57</v>
      </c>
      <c r="C3" s="3" t="s">
        <v>58</v>
      </c>
      <c r="D3" s="3" t="s">
        <v>57</v>
      </c>
      <c r="E3" s="3" t="s">
        <v>58</v>
      </c>
      <c r="F3" s="3" t="s">
        <v>57</v>
      </c>
      <c r="G3" s="3" t="s">
        <v>58</v>
      </c>
      <c r="H3" s="3" t="s">
        <v>57</v>
      </c>
      <c r="I3" s="3" t="s">
        <v>58</v>
      </c>
    </row>
    <row r="4" spans="1:9" x14ac:dyDescent="0.2">
      <c r="A4" s="80" t="s">
        <v>9</v>
      </c>
      <c r="B4" s="83">
        <v>0.24051593483007944</v>
      </c>
      <c r="C4" s="84">
        <v>2.7065495702528749E-2</v>
      </c>
      <c r="D4" s="81">
        <v>0.25006486445090831</v>
      </c>
      <c r="E4" s="82">
        <v>3.0198583979571297E-2</v>
      </c>
      <c r="F4" s="81">
        <v>0.22504151811667478</v>
      </c>
      <c r="G4" s="82">
        <v>7.931225432088497E-2</v>
      </c>
      <c r="H4" s="81">
        <v>9.7080249129568127E-2</v>
      </c>
      <c r="I4" s="82">
        <v>2.2812959371906444E-2</v>
      </c>
    </row>
    <row r="5" spans="1:9" x14ac:dyDescent="0.2">
      <c r="A5" s="80" t="s">
        <v>10</v>
      </c>
      <c r="B5" s="83">
        <v>0.24051593483007944</v>
      </c>
      <c r="C5" s="84">
        <v>2.7065495702528749E-2</v>
      </c>
      <c r="D5" s="83">
        <v>0.22064355008475375</v>
      </c>
      <c r="E5" s="84">
        <v>8.4940319397842717E-2</v>
      </c>
      <c r="F5" s="83">
        <v>0.15057773586563783</v>
      </c>
      <c r="G5" s="84">
        <v>5.0359564881905433E-2</v>
      </c>
      <c r="H5" s="83">
        <v>0.17070330125265498</v>
      </c>
      <c r="I5" s="84">
        <v>4.6791421684065242E-2</v>
      </c>
    </row>
    <row r="6" spans="1:9" x14ac:dyDescent="0.2">
      <c r="A6" s="80" t="s">
        <v>61</v>
      </c>
      <c r="B6" s="85">
        <v>0.89846273342930505</v>
      </c>
      <c r="C6" s="86">
        <v>0.16045479052740572</v>
      </c>
      <c r="D6" s="85">
        <v>0.99857584037987079</v>
      </c>
      <c r="E6" s="86">
        <v>0.18706962712699013</v>
      </c>
      <c r="F6" s="85">
        <v>0.96859802305508447</v>
      </c>
      <c r="G6" s="86">
        <v>0.1833090404953617</v>
      </c>
      <c r="H6" s="85">
        <v>1.0648378863891483</v>
      </c>
      <c r="I6" s="86">
        <v>0.62848920350234694</v>
      </c>
    </row>
    <row r="8" spans="1:9" x14ac:dyDescent="0.2">
      <c r="B8" s="119" t="s">
        <v>62</v>
      </c>
      <c r="C8" s="119"/>
      <c r="D8" s="119"/>
      <c r="E8" s="119"/>
      <c r="F8" s="119"/>
      <c r="G8" s="119"/>
      <c r="H8" s="119"/>
      <c r="I8" s="119"/>
    </row>
    <row r="9" spans="1:9" x14ac:dyDescent="0.2">
      <c r="B9" s="119" t="s">
        <v>56</v>
      </c>
      <c r="C9" s="119"/>
      <c r="D9" s="119" t="s">
        <v>6</v>
      </c>
      <c r="E9" s="119"/>
      <c r="F9" s="119" t="s">
        <v>7</v>
      </c>
      <c r="G9" s="119"/>
      <c r="H9" s="119" t="s">
        <v>8</v>
      </c>
      <c r="I9" s="119"/>
    </row>
    <row r="10" spans="1:9" x14ac:dyDescent="0.2">
      <c r="B10" s="3" t="s">
        <v>57</v>
      </c>
      <c r="C10" s="3" t="s">
        <v>58</v>
      </c>
      <c r="D10" s="3" t="s">
        <v>57</v>
      </c>
      <c r="E10" s="3" t="s">
        <v>58</v>
      </c>
      <c r="F10" s="3" t="s">
        <v>57</v>
      </c>
      <c r="G10" s="3" t="s">
        <v>58</v>
      </c>
      <c r="H10" s="3" t="s">
        <v>57</v>
      </c>
      <c r="I10" s="3" t="s">
        <v>58</v>
      </c>
    </row>
    <row r="11" spans="1:9" x14ac:dyDescent="0.2">
      <c r="A11" s="80" t="s">
        <v>9</v>
      </c>
      <c r="B11" s="83">
        <v>0.19929082526079769</v>
      </c>
      <c r="C11" s="84">
        <v>3.3448882436563909E-2</v>
      </c>
      <c r="D11" s="81">
        <v>0.27408341516997586</v>
      </c>
      <c r="E11" s="82">
        <v>4.0376625268422527E-2</v>
      </c>
      <c r="F11" s="81">
        <v>0.21739803940933583</v>
      </c>
      <c r="G11" s="82">
        <v>7.1649588851273344E-2</v>
      </c>
      <c r="H11" s="81">
        <v>0.1643717007101502</v>
      </c>
      <c r="I11" s="82">
        <v>3.2847216034673506E-2</v>
      </c>
    </row>
    <row r="12" spans="1:9" x14ac:dyDescent="0.2">
      <c r="A12" s="80" t="s">
        <v>10</v>
      </c>
      <c r="B12" s="83">
        <v>0.19929082526079769</v>
      </c>
      <c r="C12" s="84">
        <v>3.3448882436563909E-2</v>
      </c>
      <c r="D12" s="83">
        <v>0.18302234051954419</v>
      </c>
      <c r="E12" s="84">
        <v>4.1455711046603783E-2</v>
      </c>
      <c r="F12" s="83">
        <v>0.10850709362208658</v>
      </c>
      <c r="G12" s="84">
        <v>4.2060239307226313E-2</v>
      </c>
      <c r="H12" s="83">
        <v>8.89241007311629E-2</v>
      </c>
      <c r="I12" s="84">
        <v>5.2917402232828634E-2</v>
      </c>
    </row>
    <row r="13" spans="1:9" x14ac:dyDescent="0.2">
      <c r="A13" s="80" t="s">
        <v>61</v>
      </c>
      <c r="B13" s="85">
        <v>0.14451179563707878</v>
      </c>
      <c r="C13" s="86">
        <v>2.3971226207447204E-2</v>
      </c>
      <c r="D13" s="85">
        <v>0.1659229624218953</v>
      </c>
      <c r="E13" s="86">
        <v>7.9446480584725643E-2</v>
      </c>
      <c r="F13" s="85">
        <v>0.11265597318478185</v>
      </c>
      <c r="G13" s="86">
        <v>1.9536551305718818E-2</v>
      </c>
      <c r="H13" s="85">
        <v>0.12188677247045739</v>
      </c>
      <c r="I13" s="86">
        <v>3.9697622640534933E-2</v>
      </c>
    </row>
    <row r="15" spans="1:9" x14ac:dyDescent="0.2">
      <c r="B15" s="119" t="s">
        <v>63</v>
      </c>
      <c r="C15" s="119"/>
      <c r="D15" s="119"/>
      <c r="E15" s="119"/>
      <c r="F15" s="119"/>
      <c r="G15" s="119"/>
      <c r="H15" s="119"/>
      <c r="I15" s="119"/>
    </row>
    <row r="16" spans="1:9" x14ac:dyDescent="0.2">
      <c r="B16" s="119" t="s">
        <v>56</v>
      </c>
      <c r="C16" s="119"/>
      <c r="D16" s="119" t="s">
        <v>6</v>
      </c>
      <c r="E16" s="119"/>
      <c r="F16" s="119" t="s">
        <v>7</v>
      </c>
      <c r="G16" s="119"/>
      <c r="H16" s="119" t="s">
        <v>8</v>
      </c>
      <c r="I16" s="119"/>
    </row>
    <row r="17" spans="1:9" x14ac:dyDescent="0.2">
      <c r="B17" s="3" t="s">
        <v>57</v>
      </c>
      <c r="C17" s="3" t="s">
        <v>58</v>
      </c>
      <c r="D17" s="3" t="s">
        <v>57</v>
      </c>
      <c r="E17" s="3" t="s">
        <v>58</v>
      </c>
      <c r="F17" s="3" t="s">
        <v>57</v>
      </c>
      <c r="G17" s="3" t="s">
        <v>58</v>
      </c>
      <c r="H17" s="3" t="s">
        <v>57</v>
      </c>
      <c r="I17" s="3" t="s">
        <v>58</v>
      </c>
    </row>
    <row r="18" spans="1:9" x14ac:dyDescent="0.2">
      <c r="A18" s="80" t="s">
        <v>9</v>
      </c>
      <c r="B18" s="83">
        <v>0.11479185538086195</v>
      </c>
      <c r="C18" s="84">
        <v>5.2381366505094083E-2</v>
      </c>
      <c r="D18" s="81">
        <v>0.41633345191157678</v>
      </c>
      <c r="E18" s="82">
        <v>7.2042541949634886E-2</v>
      </c>
      <c r="F18" s="81">
        <v>0.81466609509587862</v>
      </c>
      <c r="G18" s="82">
        <v>0.1499815481020175</v>
      </c>
      <c r="H18" s="81">
        <v>1.2765047339342264</v>
      </c>
      <c r="I18" s="82">
        <v>0.18018330713429487</v>
      </c>
    </row>
    <row r="19" spans="1:9" x14ac:dyDescent="0.2">
      <c r="A19" s="80" t="s">
        <v>10</v>
      </c>
      <c r="B19" s="83">
        <v>0.11479185538086195</v>
      </c>
      <c r="C19" s="84">
        <v>5.2381366505094083E-2</v>
      </c>
      <c r="D19" s="83">
        <v>0.57503705167065411</v>
      </c>
      <c r="E19" s="84">
        <v>0.33945729824078807</v>
      </c>
      <c r="F19" s="83">
        <v>1.1536495657279393</v>
      </c>
      <c r="G19" s="84">
        <v>0.4262006681381007</v>
      </c>
      <c r="H19" s="83">
        <v>1.5797256722394166</v>
      </c>
      <c r="I19" s="84">
        <v>0.36449080988090637</v>
      </c>
    </row>
    <row r="20" spans="1:9" x14ac:dyDescent="0.2">
      <c r="A20" s="80" t="s">
        <v>61</v>
      </c>
      <c r="B20" s="85">
        <v>0.44527997933028496</v>
      </c>
      <c r="C20" s="86">
        <v>0.11565901950496432</v>
      </c>
      <c r="D20" s="85">
        <v>1.7635036242476274</v>
      </c>
      <c r="E20" s="86">
        <v>0.20533344960003674</v>
      </c>
      <c r="F20" s="85">
        <v>2.4950967296377731</v>
      </c>
      <c r="G20" s="86">
        <v>0.41687250566210576</v>
      </c>
      <c r="H20" s="85">
        <v>3.3475440344137763</v>
      </c>
      <c r="I20" s="86">
        <v>0.65799704454168784</v>
      </c>
    </row>
    <row r="22" spans="1:9" x14ac:dyDescent="0.2">
      <c r="B22" s="119" t="s">
        <v>64</v>
      </c>
      <c r="C22" s="119"/>
      <c r="D22" s="119"/>
      <c r="E22" s="119"/>
      <c r="F22" s="119"/>
      <c r="G22" s="119"/>
      <c r="H22" s="119"/>
      <c r="I22" s="119"/>
    </row>
    <row r="23" spans="1:9" x14ac:dyDescent="0.2">
      <c r="B23" s="119" t="s">
        <v>56</v>
      </c>
      <c r="C23" s="119"/>
      <c r="D23" s="119" t="s">
        <v>6</v>
      </c>
      <c r="E23" s="119"/>
      <c r="F23" s="119" t="s">
        <v>7</v>
      </c>
      <c r="G23" s="119"/>
      <c r="H23" s="119" t="s">
        <v>8</v>
      </c>
      <c r="I23" s="119"/>
    </row>
    <row r="24" spans="1:9" x14ac:dyDescent="0.2">
      <c r="B24" s="3" t="s">
        <v>57</v>
      </c>
      <c r="C24" s="3" t="s">
        <v>58</v>
      </c>
      <c r="D24" s="3" t="s">
        <v>57</v>
      </c>
      <c r="E24" s="3" t="s">
        <v>58</v>
      </c>
      <c r="F24" s="3" t="s">
        <v>57</v>
      </c>
      <c r="G24" s="3" t="s">
        <v>58</v>
      </c>
      <c r="H24" s="3" t="s">
        <v>57</v>
      </c>
      <c r="I24" s="3" t="s">
        <v>58</v>
      </c>
    </row>
    <row r="25" spans="1:9" x14ac:dyDescent="0.2">
      <c r="A25" s="80" t="s">
        <v>9</v>
      </c>
      <c r="B25" s="83">
        <v>0.75800042085175523</v>
      </c>
      <c r="C25" s="84">
        <v>6.1680366065528097E-2</v>
      </c>
      <c r="D25" s="81">
        <v>1.0603496421388725</v>
      </c>
      <c r="E25" s="82">
        <v>0.13215970501225657</v>
      </c>
      <c r="F25" s="81">
        <v>0.76410694739490226</v>
      </c>
      <c r="G25" s="82">
        <v>0.38467566530194008</v>
      </c>
      <c r="H25" s="81">
        <v>0.73234658263671437</v>
      </c>
      <c r="I25" s="82">
        <v>0.17050624704264949</v>
      </c>
    </row>
    <row r="26" spans="1:9" x14ac:dyDescent="0.2">
      <c r="A26" s="80" t="s">
        <v>10</v>
      </c>
      <c r="B26" s="83">
        <v>0.75800042085175523</v>
      </c>
      <c r="C26" s="84">
        <v>6.1680366065528097E-2</v>
      </c>
      <c r="D26" s="83">
        <v>0.63047534629988511</v>
      </c>
      <c r="E26" s="84">
        <v>0.14602324626735047</v>
      </c>
      <c r="F26" s="83">
        <v>0.65131489400571407</v>
      </c>
      <c r="G26" s="84">
        <v>0.15908987762411173</v>
      </c>
      <c r="H26" s="83">
        <v>0.60999037114214916</v>
      </c>
      <c r="I26" s="84">
        <v>9.5852264116074101E-2</v>
      </c>
    </row>
    <row r="27" spans="1:9" x14ac:dyDescent="0.2">
      <c r="A27" s="80" t="s">
        <v>61</v>
      </c>
      <c r="B27" s="85">
        <v>1.9379422379766922</v>
      </c>
      <c r="C27" s="86">
        <v>0.22246009022728472</v>
      </c>
      <c r="D27" s="85">
        <v>2.5657129891375763</v>
      </c>
      <c r="E27" s="86">
        <v>0.74907027366454038</v>
      </c>
      <c r="F27" s="85">
        <v>2.8329543784265763</v>
      </c>
      <c r="G27" s="86">
        <v>0.83274826256770818</v>
      </c>
      <c r="H27" s="85">
        <v>3.4616043336086335</v>
      </c>
      <c r="I27" s="86">
        <v>1.1484416768257246</v>
      </c>
    </row>
    <row r="29" spans="1:9" x14ac:dyDescent="0.2">
      <c r="B29" s="119" t="s">
        <v>65</v>
      </c>
      <c r="C29" s="119"/>
      <c r="D29" s="119"/>
      <c r="E29" s="119"/>
      <c r="F29" s="119"/>
      <c r="G29" s="119"/>
      <c r="H29" s="119"/>
      <c r="I29" s="119"/>
    </row>
    <row r="30" spans="1:9" x14ac:dyDescent="0.2">
      <c r="B30" s="119" t="s">
        <v>56</v>
      </c>
      <c r="C30" s="119"/>
      <c r="D30" s="119" t="s">
        <v>6</v>
      </c>
      <c r="E30" s="119"/>
      <c r="F30" s="119" t="s">
        <v>7</v>
      </c>
      <c r="G30" s="119"/>
      <c r="H30" s="119" t="s">
        <v>8</v>
      </c>
      <c r="I30" s="119"/>
    </row>
    <row r="31" spans="1:9" x14ac:dyDescent="0.2">
      <c r="B31" s="3" t="s">
        <v>57</v>
      </c>
      <c r="C31" s="3" t="s">
        <v>58</v>
      </c>
      <c r="D31" s="3" t="s">
        <v>57</v>
      </c>
      <c r="E31" s="3" t="s">
        <v>58</v>
      </c>
      <c r="F31" s="3" t="s">
        <v>57</v>
      </c>
      <c r="G31" s="3" t="s">
        <v>58</v>
      </c>
      <c r="H31" s="3" t="s">
        <v>57</v>
      </c>
      <c r="I31" s="3" t="s">
        <v>58</v>
      </c>
    </row>
    <row r="32" spans="1:9" x14ac:dyDescent="0.2">
      <c r="A32" s="80" t="s">
        <v>9</v>
      </c>
      <c r="B32" s="83">
        <v>6.4780243611175542E-2</v>
      </c>
      <c r="C32" s="84">
        <v>4.1152045295649954E-2</v>
      </c>
      <c r="D32" s="81">
        <v>0.11256230765257644</v>
      </c>
      <c r="E32" s="82">
        <v>1.0751983022049778E-2</v>
      </c>
      <c r="F32" s="81">
        <v>0.15284234154344603</v>
      </c>
      <c r="G32" s="82">
        <v>4.7160682888730522E-2</v>
      </c>
      <c r="H32" s="81">
        <v>0.18334609291051396</v>
      </c>
      <c r="I32" s="82">
        <v>6.7006227674101387E-2</v>
      </c>
    </row>
    <row r="33" spans="1:9" x14ac:dyDescent="0.2">
      <c r="A33" s="80" t="s">
        <v>10</v>
      </c>
      <c r="B33" s="83">
        <v>6.4780243611175542E-2</v>
      </c>
      <c r="C33" s="84">
        <v>4.1152045295649954E-2</v>
      </c>
      <c r="D33" s="83">
        <v>9.367354368485746E-2</v>
      </c>
      <c r="E33" s="84">
        <v>3.7218085004208548E-2</v>
      </c>
      <c r="F33" s="83">
        <v>0.13834731305826617</v>
      </c>
      <c r="G33" s="84">
        <v>3.9211366102934589E-2</v>
      </c>
      <c r="H33" s="83">
        <v>0.17687005199718428</v>
      </c>
      <c r="I33" s="84">
        <v>1.3939669811912154E-2</v>
      </c>
    </row>
    <row r="34" spans="1:9" x14ac:dyDescent="0.2">
      <c r="A34" s="80" t="s">
        <v>61</v>
      </c>
      <c r="B34" s="85">
        <v>0.23077595480641927</v>
      </c>
      <c r="C34" s="86">
        <v>2.6918099223214607E-2</v>
      </c>
      <c r="D34" s="85">
        <v>0.27135143093458824</v>
      </c>
      <c r="E34" s="86">
        <v>4.5671326363019904E-2</v>
      </c>
      <c r="F34" s="85">
        <v>0.26442054912018687</v>
      </c>
      <c r="G34" s="86">
        <v>2.7937137912358981E-2</v>
      </c>
      <c r="H34" s="85">
        <v>0.30218769086254571</v>
      </c>
      <c r="I34" s="86">
        <v>2.2350859300928623E-2</v>
      </c>
    </row>
    <row r="36" spans="1:9" x14ac:dyDescent="0.2">
      <c r="B36" s="119" t="s">
        <v>66</v>
      </c>
      <c r="C36" s="119"/>
      <c r="D36" s="119"/>
      <c r="E36" s="119"/>
      <c r="F36" s="119"/>
      <c r="G36" s="119"/>
      <c r="H36" s="119"/>
      <c r="I36" s="119"/>
    </row>
    <row r="37" spans="1:9" x14ac:dyDescent="0.2">
      <c r="B37" s="119" t="s">
        <v>56</v>
      </c>
      <c r="C37" s="119"/>
      <c r="D37" s="119" t="s">
        <v>6</v>
      </c>
      <c r="E37" s="119"/>
      <c r="F37" s="119" t="s">
        <v>7</v>
      </c>
      <c r="G37" s="119"/>
      <c r="H37" s="119" t="s">
        <v>8</v>
      </c>
      <c r="I37" s="119"/>
    </row>
    <row r="38" spans="1:9" x14ac:dyDescent="0.2">
      <c r="B38" s="3" t="s">
        <v>57</v>
      </c>
      <c r="C38" s="3" t="s">
        <v>58</v>
      </c>
      <c r="D38" s="3" t="s">
        <v>57</v>
      </c>
      <c r="E38" s="3" t="s">
        <v>58</v>
      </c>
      <c r="F38" s="3" t="s">
        <v>57</v>
      </c>
      <c r="G38" s="3" t="s">
        <v>58</v>
      </c>
      <c r="H38" s="3" t="s">
        <v>57</v>
      </c>
      <c r="I38" s="3" t="s">
        <v>58</v>
      </c>
    </row>
    <row r="39" spans="1:9" x14ac:dyDescent="0.2">
      <c r="A39" s="80" t="s">
        <v>9</v>
      </c>
      <c r="B39" s="83">
        <v>6.6911102557153435E-2</v>
      </c>
      <c r="C39" s="84">
        <v>3.2353703916802458E-2</v>
      </c>
      <c r="D39" s="81">
        <v>7.675388018732357E-2</v>
      </c>
      <c r="E39" s="82">
        <v>3.8146378943383928E-2</v>
      </c>
      <c r="F39" s="81">
        <v>0.33557906850998065</v>
      </c>
      <c r="G39" s="82">
        <v>0.15255142374493352</v>
      </c>
      <c r="H39" s="81">
        <v>0.66261323297510932</v>
      </c>
      <c r="I39" s="82">
        <v>0.35292444588927319</v>
      </c>
    </row>
    <row r="40" spans="1:9" x14ac:dyDescent="0.2">
      <c r="A40" s="80" t="s">
        <v>10</v>
      </c>
      <c r="B40" s="83">
        <v>6.6911102557153435E-2</v>
      </c>
      <c r="C40" s="84">
        <v>3.2353703916802458E-2</v>
      </c>
      <c r="D40" s="83">
        <v>0.20795676463133128</v>
      </c>
      <c r="E40" s="84">
        <v>0.10026343444291226</v>
      </c>
      <c r="F40" s="83">
        <v>0.4225642321575957</v>
      </c>
      <c r="G40" s="84">
        <v>0.22153848255318742</v>
      </c>
      <c r="H40" s="83">
        <v>0.68202616135926131</v>
      </c>
      <c r="I40" s="84">
        <v>0.15777353589855039</v>
      </c>
    </row>
    <row r="41" spans="1:9" x14ac:dyDescent="0.2">
      <c r="A41" s="80" t="s">
        <v>61</v>
      </c>
      <c r="B41" s="85">
        <v>0.18476631897177537</v>
      </c>
      <c r="C41" s="86">
        <v>5.0042934428315138E-2</v>
      </c>
      <c r="D41" s="85">
        <v>0.70777448378439245</v>
      </c>
      <c r="E41" s="86">
        <v>0.17756507920693684</v>
      </c>
      <c r="F41" s="85">
        <v>1.4558233069766047</v>
      </c>
      <c r="G41" s="86">
        <v>0.35390320977804091</v>
      </c>
      <c r="H41" s="85">
        <v>1.7844436111314037</v>
      </c>
      <c r="I41" s="86">
        <v>0.40431318134122235</v>
      </c>
    </row>
    <row r="43" spans="1:9" x14ac:dyDescent="0.2">
      <c r="B43" s="119" t="s">
        <v>67</v>
      </c>
      <c r="C43" s="119"/>
      <c r="D43" s="119"/>
      <c r="E43" s="119"/>
      <c r="F43" s="119"/>
      <c r="G43" s="119"/>
      <c r="H43" s="119"/>
      <c r="I43" s="119"/>
    </row>
    <row r="44" spans="1:9" x14ac:dyDescent="0.2">
      <c r="B44" s="119" t="s">
        <v>56</v>
      </c>
      <c r="C44" s="119"/>
      <c r="D44" s="119" t="s">
        <v>6</v>
      </c>
      <c r="E44" s="119"/>
      <c r="F44" s="119" t="s">
        <v>7</v>
      </c>
      <c r="G44" s="119"/>
      <c r="H44" s="119" t="s">
        <v>8</v>
      </c>
      <c r="I44" s="119"/>
    </row>
    <row r="45" spans="1:9" x14ac:dyDescent="0.2">
      <c r="B45" s="3" t="s">
        <v>57</v>
      </c>
      <c r="C45" s="3" t="s">
        <v>58</v>
      </c>
      <c r="D45" s="3" t="s">
        <v>57</v>
      </c>
      <c r="E45" s="3" t="s">
        <v>58</v>
      </c>
      <c r="F45" s="3" t="s">
        <v>57</v>
      </c>
      <c r="G45" s="3" t="s">
        <v>58</v>
      </c>
      <c r="H45" s="3" t="s">
        <v>57</v>
      </c>
      <c r="I45" s="3" t="s">
        <v>58</v>
      </c>
    </row>
    <row r="46" spans="1:9" x14ac:dyDescent="0.2">
      <c r="A46" s="80" t="s">
        <v>9</v>
      </c>
      <c r="B46" s="83">
        <v>0.12712408552252732</v>
      </c>
      <c r="C46" s="84">
        <v>1.4164619302051715E-2</v>
      </c>
      <c r="D46" s="81">
        <v>0.14684344983064912</v>
      </c>
      <c r="E46" s="82">
        <v>1.3263072359048179E-2</v>
      </c>
      <c r="F46" s="81">
        <v>0.18415169917301907</v>
      </c>
      <c r="G46" s="82">
        <v>8.7280663827380631E-2</v>
      </c>
      <c r="H46" s="81">
        <v>0.36928012833233714</v>
      </c>
      <c r="I46" s="82">
        <v>3.3780352254089312E-2</v>
      </c>
    </row>
    <row r="47" spans="1:9" x14ac:dyDescent="0.2">
      <c r="A47" s="80" t="s">
        <v>10</v>
      </c>
      <c r="B47" s="83">
        <v>0.12712408552252732</v>
      </c>
      <c r="C47" s="84">
        <v>1.4164619302051715E-2</v>
      </c>
      <c r="D47" s="83">
        <v>0.16323787349517133</v>
      </c>
      <c r="E47" s="84">
        <v>5.1081211235031523E-2</v>
      </c>
      <c r="F47" s="83">
        <v>0.2792524220430993</v>
      </c>
      <c r="G47" s="84">
        <v>0.13944577809589684</v>
      </c>
      <c r="H47" s="83">
        <v>0.38104958223926605</v>
      </c>
      <c r="I47" s="84">
        <v>7.9245969645917777E-2</v>
      </c>
    </row>
    <row r="48" spans="1:9" x14ac:dyDescent="0.2">
      <c r="A48" s="80" t="s">
        <v>61</v>
      </c>
      <c r="B48" s="85">
        <v>0.75532178751311174</v>
      </c>
      <c r="C48" s="86">
        <v>0.11699002877733475</v>
      </c>
      <c r="D48" s="85">
        <v>0.84461096512471046</v>
      </c>
      <c r="E48" s="86">
        <v>0.2144632409594949</v>
      </c>
      <c r="F48" s="85">
        <v>0.8054648464700066</v>
      </c>
      <c r="G48" s="86">
        <v>0.24560999557600413</v>
      </c>
      <c r="H48" s="85">
        <v>0.93850852648629557</v>
      </c>
      <c r="I48" s="86">
        <v>0.26547585098108445</v>
      </c>
    </row>
    <row r="50" spans="1:9" x14ac:dyDescent="0.2">
      <c r="B50" s="119" t="s">
        <v>68</v>
      </c>
      <c r="C50" s="119"/>
      <c r="D50" s="119"/>
      <c r="E50" s="119"/>
      <c r="F50" s="119"/>
      <c r="G50" s="119"/>
      <c r="H50" s="119"/>
      <c r="I50" s="119"/>
    </row>
    <row r="51" spans="1:9" x14ac:dyDescent="0.2">
      <c r="B51" s="119" t="s">
        <v>56</v>
      </c>
      <c r="C51" s="119"/>
      <c r="D51" s="119" t="s">
        <v>6</v>
      </c>
      <c r="E51" s="119"/>
      <c r="F51" s="119" t="s">
        <v>7</v>
      </c>
      <c r="G51" s="119"/>
      <c r="H51" s="119" t="s">
        <v>8</v>
      </c>
      <c r="I51" s="119"/>
    </row>
    <row r="52" spans="1:9" x14ac:dyDescent="0.2">
      <c r="B52" s="3" t="s">
        <v>57</v>
      </c>
      <c r="C52" s="3" t="s">
        <v>58</v>
      </c>
      <c r="D52" s="3" t="s">
        <v>57</v>
      </c>
      <c r="E52" s="3" t="s">
        <v>58</v>
      </c>
      <c r="F52" s="3" t="s">
        <v>57</v>
      </c>
      <c r="G52" s="3" t="s">
        <v>58</v>
      </c>
      <c r="H52" s="3" t="s">
        <v>57</v>
      </c>
      <c r="I52" s="3" t="s">
        <v>58</v>
      </c>
    </row>
    <row r="53" spans="1:9" x14ac:dyDescent="0.2">
      <c r="A53" s="80" t="s">
        <v>9</v>
      </c>
      <c r="B53" s="83">
        <v>1.8049123773361933</v>
      </c>
      <c r="C53" s="84">
        <v>0.15546540322021205</v>
      </c>
      <c r="D53" s="81">
        <v>2.0200815452724048</v>
      </c>
      <c r="E53" s="82">
        <v>0.18694648011990928</v>
      </c>
      <c r="F53" s="81">
        <v>2.1710017693157897</v>
      </c>
      <c r="G53" s="82">
        <v>9.241802892766128E-2</v>
      </c>
      <c r="H53" s="81">
        <v>2.2255086162579318</v>
      </c>
      <c r="I53" s="82">
        <v>0.18387019829432158</v>
      </c>
    </row>
    <row r="54" spans="1:9" x14ac:dyDescent="0.2">
      <c r="A54" s="80" t="s">
        <v>10</v>
      </c>
      <c r="B54" s="83">
        <v>1.8049123773361933</v>
      </c>
      <c r="C54" s="84">
        <v>0.15546540322021205</v>
      </c>
      <c r="D54" s="83">
        <v>1.586125954411437</v>
      </c>
      <c r="E54" s="84">
        <v>0.43685675625745063</v>
      </c>
      <c r="F54" s="83">
        <v>1.7891600207515519</v>
      </c>
      <c r="G54" s="84">
        <v>9.1705081474088179E-2</v>
      </c>
      <c r="H54" s="83">
        <v>1.9363206620377365</v>
      </c>
      <c r="I54" s="84">
        <v>0.1375248533331549</v>
      </c>
    </row>
    <row r="55" spans="1:9" x14ac:dyDescent="0.2">
      <c r="A55" s="80" t="s">
        <v>61</v>
      </c>
      <c r="B55" s="85">
        <v>4.8311322199839779</v>
      </c>
      <c r="C55" s="86">
        <v>0.41303322852803981</v>
      </c>
      <c r="D55" s="85">
        <v>4.6419876850715802</v>
      </c>
      <c r="E55" s="86">
        <v>0.68270563954965524</v>
      </c>
      <c r="F55" s="85">
        <v>4.8770272955293175</v>
      </c>
      <c r="G55" s="86">
        <v>0.2913348026746464</v>
      </c>
      <c r="H55" s="85">
        <v>5.2445183978324517</v>
      </c>
      <c r="I55" s="86">
        <v>0.64378229161796774</v>
      </c>
    </row>
    <row r="57" spans="1:9" x14ac:dyDescent="0.2">
      <c r="B57" s="119" t="s">
        <v>69</v>
      </c>
      <c r="C57" s="119"/>
      <c r="D57" s="119"/>
      <c r="E57" s="119"/>
      <c r="F57" s="119"/>
      <c r="G57" s="119"/>
      <c r="H57" s="119"/>
      <c r="I57" s="119"/>
    </row>
    <row r="58" spans="1:9" x14ac:dyDescent="0.2">
      <c r="B58" s="119" t="s">
        <v>56</v>
      </c>
      <c r="C58" s="119"/>
      <c r="D58" s="119" t="s">
        <v>6</v>
      </c>
      <c r="E58" s="119"/>
      <c r="F58" s="119" t="s">
        <v>7</v>
      </c>
      <c r="G58" s="119"/>
      <c r="H58" s="119" t="s">
        <v>8</v>
      </c>
      <c r="I58" s="119"/>
    </row>
    <row r="59" spans="1:9" x14ac:dyDescent="0.2">
      <c r="B59" s="3" t="s">
        <v>57</v>
      </c>
      <c r="C59" s="3" t="s">
        <v>58</v>
      </c>
      <c r="D59" s="3" t="s">
        <v>57</v>
      </c>
      <c r="E59" s="3" t="s">
        <v>58</v>
      </c>
      <c r="F59" s="3" t="s">
        <v>57</v>
      </c>
      <c r="G59" s="3" t="s">
        <v>58</v>
      </c>
      <c r="H59" s="3" t="s">
        <v>57</v>
      </c>
      <c r="I59" s="3" t="s">
        <v>58</v>
      </c>
    </row>
    <row r="60" spans="1:9" x14ac:dyDescent="0.2">
      <c r="A60" s="80" t="s">
        <v>9</v>
      </c>
      <c r="B60" s="83">
        <v>0.30044467263995983</v>
      </c>
      <c r="C60" s="84">
        <v>4.8318596512945754E-2</v>
      </c>
      <c r="D60" s="81">
        <v>0.33947424550667599</v>
      </c>
      <c r="E60" s="82">
        <v>0.13449766111311018</v>
      </c>
      <c r="F60" s="81">
        <v>0.33309203183565095</v>
      </c>
      <c r="G60" s="82">
        <v>0.15174958738104416</v>
      </c>
      <c r="H60" s="81">
        <v>0.42313796669930942</v>
      </c>
      <c r="I60" s="82">
        <v>0.18489118196504134</v>
      </c>
    </row>
    <row r="61" spans="1:9" x14ac:dyDescent="0.2">
      <c r="A61" s="80" t="s">
        <v>10</v>
      </c>
      <c r="B61" s="83">
        <v>0.30044467263995983</v>
      </c>
      <c r="C61" s="84">
        <v>4.8318596512945754E-2</v>
      </c>
      <c r="D61" s="83">
        <v>0.36931492796084286</v>
      </c>
      <c r="E61" s="84">
        <v>7.5691640353669723E-2</v>
      </c>
      <c r="F61" s="83">
        <v>0.38051015463326143</v>
      </c>
      <c r="G61" s="84">
        <v>8.5335103254545755E-2</v>
      </c>
      <c r="H61" s="83">
        <v>0.40217312799878835</v>
      </c>
      <c r="I61" s="84">
        <v>6.2275194176976002E-2</v>
      </c>
    </row>
    <row r="62" spans="1:9" x14ac:dyDescent="0.2">
      <c r="A62" s="80" t="s">
        <v>61</v>
      </c>
      <c r="B62" s="85">
        <v>0.23713797256342656</v>
      </c>
      <c r="C62" s="86">
        <v>1.1650243619028161E-2</v>
      </c>
      <c r="D62" s="85">
        <v>0.51543327947791284</v>
      </c>
      <c r="E62" s="86">
        <v>0.46824999014736313</v>
      </c>
      <c r="F62" s="85">
        <v>0.87494022266561244</v>
      </c>
      <c r="G62" s="86">
        <v>0.28927741412077251</v>
      </c>
      <c r="H62" s="85">
        <v>1.0252462883673936</v>
      </c>
      <c r="I62" s="86">
        <v>0.63503551560313964</v>
      </c>
    </row>
    <row r="64" spans="1:9" x14ac:dyDescent="0.2">
      <c r="B64" s="119" t="s">
        <v>70</v>
      </c>
      <c r="C64" s="119"/>
      <c r="D64" s="119"/>
      <c r="E64" s="119"/>
      <c r="F64" s="119"/>
      <c r="G64" s="119"/>
      <c r="H64" s="119"/>
      <c r="I64" s="119"/>
    </row>
    <row r="65" spans="1:9" x14ac:dyDescent="0.2">
      <c r="B65" s="119" t="s">
        <v>56</v>
      </c>
      <c r="C65" s="119"/>
      <c r="D65" s="119" t="s">
        <v>6</v>
      </c>
      <c r="E65" s="119"/>
      <c r="F65" s="119" t="s">
        <v>7</v>
      </c>
      <c r="G65" s="119"/>
      <c r="H65" s="119" t="s">
        <v>8</v>
      </c>
      <c r="I65" s="119"/>
    </row>
    <row r="66" spans="1:9" x14ac:dyDescent="0.2">
      <c r="B66" s="3" t="s">
        <v>57</v>
      </c>
      <c r="C66" s="3" t="s">
        <v>58</v>
      </c>
      <c r="D66" s="3" t="s">
        <v>57</v>
      </c>
      <c r="E66" s="3" t="s">
        <v>58</v>
      </c>
      <c r="F66" s="3" t="s">
        <v>57</v>
      </c>
      <c r="G66" s="3" t="s">
        <v>58</v>
      </c>
      <c r="H66" s="3" t="s">
        <v>57</v>
      </c>
      <c r="I66" s="3" t="s">
        <v>58</v>
      </c>
    </row>
    <row r="67" spans="1:9" x14ac:dyDescent="0.2">
      <c r="A67" s="80" t="s">
        <v>9</v>
      </c>
      <c r="B67" s="83">
        <v>0.11808057801833872</v>
      </c>
      <c r="C67" s="84">
        <v>2.723576943628046E-2</v>
      </c>
      <c r="D67" s="81">
        <v>0.11715058216420812</v>
      </c>
      <c r="E67" s="82">
        <v>1.5621650517997967E-2</v>
      </c>
      <c r="F67" s="81">
        <v>0.11959566608440619</v>
      </c>
      <c r="G67" s="82">
        <v>2.9784021755462454E-2</v>
      </c>
      <c r="H67" s="81">
        <v>7.9560756209834743E-2</v>
      </c>
      <c r="I67" s="82">
        <v>1.2677606592026287E-2</v>
      </c>
    </row>
    <row r="68" spans="1:9" x14ac:dyDescent="0.2">
      <c r="A68" s="80" t="s">
        <v>10</v>
      </c>
      <c r="B68" s="83">
        <v>0.10689679365063376</v>
      </c>
      <c r="C68" s="84">
        <v>3.4376234763369332E-2</v>
      </c>
      <c r="D68" s="83">
        <v>8.2337553035067443E-2</v>
      </c>
      <c r="E68" s="84">
        <v>6.5833550661870931E-3</v>
      </c>
      <c r="F68" s="83">
        <v>7.8185628729145557E-2</v>
      </c>
      <c r="G68" s="84">
        <v>1.3510155254969241E-2</v>
      </c>
      <c r="H68" s="83">
        <v>6.8428899719463587E-2</v>
      </c>
      <c r="I68" s="84">
        <v>9.0343769333251483E-3</v>
      </c>
    </row>
    <row r="69" spans="1:9" x14ac:dyDescent="0.2">
      <c r="A69" s="80" t="s">
        <v>61</v>
      </c>
      <c r="B69" s="85">
        <v>0.10039530478893631</v>
      </c>
      <c r="C69" s="86">
        <v>6.2110141240060569E-2</v>
      </c>
      <c r="D69" s="85">
        <v>6.0972090737788441E-2</v>
      </c>
      <c r="E69" s="86">
        <v>2.9288036674650131E-2</v>
      </c>
      <c r="F69" s="85">
        <v>6.1796417130044426E-2</v>
      </c>
      <c r="G69" s="86">
        <v>3.0629150780860818E-2</v>
      </c>
      <c r="H69" s="85">
        <v>5.9385721954359698E-2</v>
      </c>
      <c r="I69" s="86">
        <v>3.1938486719861402E-2</v>
      </c>
    </row>
  </sheetData>
  <mergeCells count="50">
    <mergeCell ref="B64:I64"/>
    <mergeCell ref="B65:C65"/>
    <mergeCell ref="D65:E65"/>
    <mergeCell ref="F65:G65"/>
    <mergeCell ref="H65:I65"/>
    <mergeCell ref="B58:C58"/>
    <mergeCell ref="D58:E58"/>
    <mergeCell ref="F58:G58"/>
    <mergeCell ref="H58:I58"/>
    <mergeCell ref="B43:I43"/>
    <mergeCell ref="B44:C44"/>
    <mergeCell ref="D44:E44"/>
    <mergeCell ref="F44:G44"/>
    <mergeCell ref="H44:I44"/>
    <mergeCell ref="B50:I50"/>
    <mergeCell ref="B51:C51"/>
    <mergeCell ref="D51:E51"/>
    <mergeCell ref="F51:G51"/>
    <mergeCell ref="H51:I51"/>
    <mergeCell ref="B57:I57"/>
    <mergeCell ref="B37:C37"/>
    <mergeCell ref="D37:E37"/>
    <mergeCell ref="F37:G37"/>
    <mergeCell ref="H37:I37"/>
    <mergeCell ref="B22:I22"/>
    <mergeCell ref="B23:C23"/>
    <mergeCell ref="D23:E23"/>
    <mergeCell ref="F23:G23"/>
    <mergeCell ref="H23:I23"/>
    <mergeCell ref="B29:I29"/>
    <mergeCell ref="B30:C30"/>
    <mergeCell ref="D30:E30"/>
    <mergeCell ref="F30:G30"/>
    <mergeCell ref="H30:I30"/>
    <mergeCell ref="B36:I36"/>
    <mergeCell ref="B16:C16"/>
    <mergeCell ref="D16:E16"/>
    <mergeCell ref="F16:G16"/>
    <mergeCell ref="H16:I16"/>
    <mergeCell ref="B1:I1"/>
    <mergeCell ref="B2:C2"/>
    <mergeCell ref="D2:E2"/>
    <mergeCell ref="F2:G2"/>
    <mergeCell ref="H2:I2"/>
    <mergeCell ref="B8:I8"/>
    <mergeCell ref="B9:C9"/>
    <mergeCell ref="D9:E9"/>
    <mergeCell ref="F9:G9"/>
    <mergeCell ref="H9:I9"/>
    <mergeCell ref="B15:I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OD</vt:lpstr>
      <vt:lpstr>pH</vt:lpstr>
      <vt:lpstr>SCFA CN</vt:lpstr>
      <vt:lpstr>SCFA OFP</vt:lpstr>
      <vt:lpstr>SCFA IQ</vt:lpstr>
      <vt:lpstr>SCFA PM</vt:lpstr>
      <vt:lpstr>SCFA EM</vt:lpstr>
      <vt:lpstr>Summary</vt:lpstr>
      <vt:lpstr>Summary (sem E)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Alondra Abigail González Colunga</dc:creator>
  <cp:keywords/>
  <dc:description/>
  <cp:lastModifiedBy>Diana Filipa Freitas Oliveira</cp:lastModifiedBy>
  <cp:revision/>
  <dcterms:created xsi:type="dcterms:W3CDTF">2024-01-29T15:16:53Z</dcterms:created>
  <dcterms:modified xsi:type="dcterms:W3CDTF">2026-06-19T20:27:37Z</dcterms:modified>
  <cp:category/>
  <cp:contentStatus/>
</cp:coreProperties>
</file>